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egic Options Model" sheetId="1" r:id="rId5"/>
  </sheets>
  <definedNames/>
  <calcPr/>
</workbook>
</file>

<file path=xl/sharedStrings.xml><?xml version="1.0" encoding="utf-8"?>
<sst xmlns="http://schemas.openxmlformats.org/spreadsheetml/2006/main" count="88" uniqueCount="63">
  <si>
    <t>TRINZO — STRATEGIC OPTIONS FINANCIAL MODEL</t>
  </si>
  <si>
    <t>Three-Year Projection 2027–2029  |  Prepared May 2026  |  Figures in € Millions</t>
  </si>
  <si>
    <t>KEY ASSUMPTIONS  —  Blue text = editable inputs  |  Black text = formula</t>
  </si>
  <si>
    <t>Assumption</t>
  </si>
  <si>
    <t>2026</t>
  </si>
  <si>
    <t>2027</t>
  </si>
  <si>
    <t>2028</t>
  </si>
  <si>
    <t>2029</t>
  </si>
  <si>
    <t>Notes</t>
  </si>
  <si>
    <t>Baseline Revenue (€M)</t>
  </si>
  <si>
    <t>Management forecast; year-end 2026</t>
  </si>
  <si>
    <t xml:space="preserve">  OPTION 1</t>
  </si>
  <si>
    <t>OPT1 — Revenue Growth %</t>
  </si>
  <si>
    <t>Organic; no structural change</t>
  </si>
  <si>
    <t>OPT1 — EBITDA Margin %</t>
  </si>
  <si>
    <t>Flat structure; modest improvement over time</t>
  </si>
  <si>
    <t>OPT1 — Valuation Multiple (x Rev)</t>
  </si>
  <si>
    <t>No change to business profile or multiple</t>
  </si>
  <si>
    <t xml:space="preserve">  OPTION 2</t>
  </si>
  <si>
    <t>OPT2 — Revenue Growth %</t>
  </si>
  <si>
    <t>Knowledge gap slows 2027; partial recovery thereafter</t>
  </si>
  <si>
    <t>OPT2 — EBITDA Margin %</t>
  </si>
  <si>
    <t>Higher junior costs + lower productivity compresses margin</t>
  </si>
  <si>
    <t>OPT2 — Valuation Multiple (x Rev)</t>
  </si>
  <si>
    <t>Worse EBITDA profile compresses valuation multiple</t>
  </si>
  <si>
    <t>OPT2 — One-Off Recruitment Cost (€M)</t>
  </si>
  <si>
    <t>Recruitment fees + onboarding across multiple roles (2026)</t>
  </si>
  <si>
    <t xml:space="preserve">  OPTION 3</t>
  </si>
  <si>
    <t>OPT3 — Revenue Growth %</t>
  </si>
  <si>
    <t>AI positioning + pricing power + new billable capacity</t>
  </si>
  <si>
    <t>OPT3 — EBITDA Margin %</t>
  </si>
  <si>
    <t>Automation savings + billable FTE shift improve margins</t>
  </si>
  <si>
    <t>OPT3 — Valuation Multiple (x Rev)</t>
  </si>
  <si>
    <t>AI-first premium expands as repositioning matures</t>
  </si>
  <si>
    <t>OPT3 — Tooling &amp; Transition Invest. (€M)</t>
  </si>
  <si>
    <t>AI tooling, restructuring, capability build (2026–2027)</t>
  </si>
  <si>
    <t>FINANCIAL PROJECTIONS BY OPTION</t>
  </si>
  <si>
    <t>2026  (Baseline)</t>
  </si>
  <si>
    <t>OPTION 1 — STAY THE COURSE</t>
  </si>
  <si>
    <t>Revenue (€M)</t>
  </si>
  <si>
    <t>Revenue Growth %</t>
  </si>
  <si>
    <t>n/a</t>
  </si>
  <si>
    <t>EBITDA Margin %</t>
  </si>
  <si>
    <t>EBITDA (€M)</t>
  </si>
  <si>
    <t>Valuation Multiple (x Revenue)</t>
  </si>
  <si>
    <t>Implied Valuation (€M)</t>
  </si>
  <si>
    <t>Stable trajectory. No valuation multiple improvement. Structural issues persist.</t>
  </si>
  <si>
    <t>OPTION 2 — HIRE LIKE FOR LIKE</t>
  </si>
  <si>
    <t>Recruitment &amp; Onboarding Cost (€M)</t>
  </si>
  <si>
    <t>Adjusted EBITDA (€M)</t>
  </si>
  <si>
    <t>Most expensive path. Higher costs, lower productivity. No improvement to multiple.</t>
  </si>
  <si>
    <t>OPTION 3 — REPOSITION (AI-FIRST)</t>
  </si>
  <si>
    <t>Tooling &amp; Transition Investment (€M)</t>
  </si>
  <si>
    <t>Path to €40M exit. Addresses all four value drivers. Requires execution commitment.</t>
  </si>
  <si>
    <t>2029 EXIT COMPARISON — KEY METRICS AT YEAR OF TARGET SALE</t>
  </si>
  <si>
    <t>Metric</t>
  </si>
  <si>
    <t>Option 1
Stay the Course</t>
  </si>
  <si>
    <t>Option 2
Hire Like for Like</t>
  </si>
  <si>
    <t>Option 3
Reposition (AI-First)</t>
  </si>
  <si>
    <t>€40M Target</t>
  </si>
  <si>
    <t>—</t>
  </si>
  <si>
    <t>Val. Multiple</t>
  </si>
  <si>
    <t>Notes: All figures are projections based on management assumptions and are indicative only. Valuation based on revenue multiple; EBITDA multiple cross-check available separately. Blue text in Assumptions section = editable inputs. Option 2 junior hire costs are modelled as higher than departed staff given current market rates, with a 12–18 month productivity ramp assumed.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</si>
</sst>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€#,##0.0"/>
    <numFmt numFmtId="165" formatCode="0.0%"/>
    <numFmt numFmtId="166" formatCode="0.0\x"/>
    <numFmt numFmtId="167" formatCode="\€#,##0.00"/>
  </numFmts>
  <fonts count="21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9.0"/>
      <color rgb="FFFFFFFF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sz val="8.0"/>
      <color rgb="FF000000"/>
      <name val="Arial"/>
    </font>
    <font>
      <sz val="8.0"/>
      <color rgb="FF0000FF"/>
      <name val="Arial"/>
    </font>
    <font>
      <sz val="8.0"/>
      <color rgb="FF999999"/>
      <name val="Arial"/>
    </font>
    <font>
      <i/>
      <sz val="8.0"/>
      <color rgb="FF666666"/>
      <name val="Arial"/>
    </font>
    <font>
      <b/>
      <sz val="8.0"/>
      <color rgb="FFFFFFFF"/>
      <name val="Arial"/>
    </font>
    <font>
      <b/>
      <sz val="9.0"/>
      <color rgb="FF000000"/>
      <name val="Arial"/>
    </font>
    <font>
      <b/>
      <i/>
      <sz val="8.0"/>
      <color rgb="FFFFFFFF"/>
      <name val="Arial"/>
    </font>
    <font>
      <sz val="8.0"/>
      <color rgb="FFCC0000"/>
      <name val="Arial"/>
    </font>
    <font>
      <b/>
      <sz val="12.0"/>
      <color rgb="FFFFFFFF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11.0"/>
      <color rgb="FF1F4E79"/>
      <name val="Arial"/>
    </font>
    <font>
      <b/>
      <sz val="11.0"/>
      <color rgb="FF833C00"/>
      <name val="Arial"/>
    </font>
    <font>
      <b/>
      <sz val="11.0"/>
      <color rgb="FF375623"/>
      <name val="Arial"/>
    </font>
    <font>
      <i/>
      <sz val="7.0"/>
      <color rgb="FF666666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833C00"/>
        <bgColor rgb="FF833C00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7030A0"/>
        <bgColor rgb="FF7030A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shrinkToFit="0" vertical="center" wrapText="0"/>
    </xf>
    <xf borderId="4" fillId="4" fontId="7" numFmtId="164" xfId="0" applyAlignment="1" applyBorder="1" applyFont="1" applyNumberFormat="1">
      <alignment horizontal="right" shrinkToFit="0" vertical="center" wrapText="0"/>
    </xf>
    <xf borderId="4" fillId="4" fontId="8" numFmtId="0" xfId="0" applyAlignment="1" applyBorder="1" applyFont="1">
      <alignment horizontal="right" shrinkToFit="0" vertical="center" wrapText="0"/>
    </xf>
    <xf borderId="4" fillId="4" fontId="9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shrinkToFit="0" vertical="center" wrapText="0"/>
    </xf>
    <xf borderId="4" fillId="5" fontId="6" numFmtId="0" xfId="0" applyAlignment="1" applyBorder="1" applyFill="1" applyFont="1">
      <alignment horizontal="left" shrinkToFit="0" vertical="center" wrapText="0"/>
    </xf>
    <xf borderId="4" fillId="5" fontId="8" numFmtId="0" xfId="0" applyAlignment="1" applyBorder="1" applyFont="1">
      <alignment horizontal="right" shrinkToFit="0" vertical="center" wrapText="0"/>
    </xf>
    <xf borderId="4" fillId="5" fontId="7" numFmtId="165" xfId="0" applyAlignment="1" applyBorder="1" applyFont="1" applyNumberFormat="1">
      <alignment horizontal="right" shrinkToFit="0" vertical="center" wrapText="0"/>
    </xf>
    <xf borderId="4" fillId="5" fontId="9" numFmtId="0" xfId="0" applyAlignment="1" applyBorder="1" applyFont="1">
      <alignment horizontal="left" shrinkToFit="0" vertical="center" wrapText="1"/>
    </xf>
    <xf borderId="4" fillId="4" fontId="7" numFmtId="165" xfId="0" applyAlignment="1" applyBorder="1" applyFont="1" applyNumberFormat="1">
      <alignment horizontal="right" shrinkToFit="0" vertical="center" wrapText="0"/>
    </xf>
    <xf borderId="4" fillId="5" fontId="7" numFmtId="166" xfId="0" applyAlignment="1" applyBorder="1" applyFont="1" applyNumberFormat="1">
      <alignment horizontal="right" shrinkToFit="0" vertical="center" wrapText="0"/>
    </xf>
    <xf borderId="4" fillId="4" fontId="7" numFmtId="166" xfId="0" applyAlignment="1" applyBorder="1" applyFont="1" applyNumberFormat="1">
      <alignment horizontal="right" shrinkToFit="0" vertical="center" wrapText="0"/>
    </xf>
    <xf borderId="4" fillId="5" fontId="7" numFmtId="167" xfId="0" applyAlignment="1" applyBorder="1" applyFont="1" applyNumberFormat="1">
      <alignment horizontal="right" shrinkToFit="0" vertical="center" wrapText="0"/>
    </xf>
    <xf borderId="4" fillId="5" fontId="8" numFmtId="167" xfId="0" applyAlignment="1" applyBorder="1" applyFont="1" applyNumberFormat="1">
      <alignment horizontal="right" shrinkToFit="0" vertical="center" wrapText="0"/>
    </xf>
    <xf borderId="1" fillId="6" fontId="4" numFmtId="0" xfId="0" applyAlignment="1" applyBorder="1" applyFill="1" applyFont="1">
      <alignment horizontal="left" shrinkToFit="0" vertical="center" wrapText="0"/>
    </xf>
    <xf borderId="4" fillId="5" fontId="11" numFmtId="0" xfId="0" applyAlignment="1" applyBorder="1" applyFont="1">
      <alignment horizontal="left" shrinkToFit="0" vertical="center" wrapText="0"/>
    </xf>
    <xf borderId="4" fillId="5" fontId="11" numFmtId="164" xfId="0" applyAlignment="1" applyBorder="1" applyFont="1" applyNumberFormat="1">
      <alignment horizontal="right" shrinkToFit="0" vertical="center" wrapText="0"/>
    </xf>
    <xf borderId="4" fillId="4" fontId="6" numFmtId="0" xfId="0" applyAlignment="1" applyBorder="1" applyFont="1">
      <alignment horizontal="center" shrinkToFit="0" vertical="center" wrapText="0"/>
    </xf>
    <xf borderId="4" fillId="4" fontId="6" numFmtId="165" xfId="0" applyAlignment="1" applyBorder="1" applyFont="1" applyNumberFormat="1">
      <alignment horizontal="right" shrinkToFit="0" vertical="center" wrapText="0"/>
    </xf>
    <xf borderId="4" fillId="7" fontId="6" numFmtId="0" xfId="0" applyAlignment="1" applyBorder="1" applyFill="1" applyFont="1">
      <alignment horizontal="left" shrinkToFit="0" vertical="center" wrapText="0"/>
    </xf>
    <xf borderId="4" fillId="7" fontId="6" numFmtId="165" xfId="0" applyAlignment="1" applyBorder="1" applyFont="1" applyNumberFormat="1">
      <alignment horizontal="right" shrinkToFit="0" vertical="center" wrapText="0"/>
    </xf>
    <xf borderId="4" fillId="5" fontId="11" numFmtId="167" xfId="0" applyAlignment="1" applyBorder="1" applyFont="1" applyNumberFormat="1">
      <alignment horizontal="right" shrinkToFit="0" vertical="center" wrapText="0"/>
    </xf>
    <xf borderId="4" fillId="7" fontId="6" numFmtId="166" xfId="0" applyAlignment="1" applyBorder="1" applyFont="1" applyNumberFormat="1">
      <alignment horizontal="right" shrinkToFit="0" vertical="center" wrapText="0"/>
    </xf>
    <xf borderId="4" fillId="6" fontId="4" numFmtId="0" xfId="0" applyAlignment="1" applyBorder="1" applyFont="1">
      <alignment horizontal="left" shrinkToFit="0" vertical="center" wrapText="0"/>
    </xf>
    <xf borderId="4" fillId="6" fontId="4" numFmtId="164" xfId="0" applyAlignment="1" applyBorder="1" applyFont="1" applyNumberFormat="1">
      <alignment horizontal="right" shrinkToFit="0" vertical="center" wrapText="0"/>
    </xf>
    <xf borderId="4" fillId="6" fontId="12" numFmtId="0" xfId="0" applyAlignment="1" applyBorder="1" applyFont="1">
      <alignment horizontal="left" shrinkToFit="0" vertical="center" wrapText="1"/>
    </xf>
    <xf borderId="1" fillId="8" fontId="4" numFmtId="0" xfId="0" applyAlignment="1" applyBorder="1" applyFill="1" applyFont="1">
      <alignment horizontal="left" shrinkToFit="0" vertical="center" wrapText="0"/>
    </xf>
    <xf borderId="4" fillId="9" fontId="11" numFmtId="0" xfId="0" applyAlignment="1" applyBorder="1" applyFill="1" applyFont="1">
      <alignment horizontal="left" shrinkToFit="0" vertical="center" wrapText="0"/>
    </xf>
    <xf borderId="4" fillId="9" fontId="11" numFmtId="164" xfId="0" applyAlignment="1" applyBorder="1" applyFont="1" applyNumberFormat="1">
      <alignment horizontal="right" shrinkToFit="0" vertical="center" wrapText="0"/>
    </xf>
    <xf borderId="4" fillId="9" fontId="11" numFmtId="167" xfId="0" applyAlignment="1" applyBorder="1" applyFont="1" applyNumberFormat="1">
      <alignment horizontal="right" shrinkToFit="0" vertical="center" wrapText="0"/>
    </xf>
    <xf borderId="4" fillId="4" fontId="13" numFmtId="167" xfId="0" applyAlignment="1" applyBorder="1" applyFont="1" applyNumberFormat="1">
      <alignment horizontal="right" shrinkToFit="0" vertical="center" wrapText="0"/>
    </xf>
    <xf borderId="4" fillId="8" fontId="4" numFmtId="0" xfId="0" applyAlignment="1" applyBorder="1" applyFont="1">
      <alignment horizontal="left" shrinkToFit="0" vertical="center" wrapText="0"/>
    </xf>
    <xf borderId="4" fillId="8" fontId="4" numFmtId="164" xfId="0" applyAlignment="1" applyBorder="1" applyFont="1" applyNumberFormat="1">
      <alignment horizontal="right" shrinkToFit="0" vertical="center" wrapText="0"/>
    </xf>
    <xf borderId="4" fillId="8" fontId="12" numFmtId="0" xfId="0" applyAlignment="1" applyBorder="1" applyFont="1">
      <alignment horizontal="left" shrinkToFit="0" vertical="center" wrapText="1"/>
    </xf>
    <xf borderId="1" fillId="10" fontId="4" numFmtId="0" xfId="0" applyAlignment="1" applyBorder="1" applyFill="1" applyFont="1">
      <alignment horizontal="left" shrinkToFit="0" vertical="center" wrapText="0"/>
    </xf>
    <xf borderId="4" fillId="11" fontId="11" numFmtId="0" xfId="0" applyAlignment="1" applyBorder="1" applyFill="1" applyFont="1">
      <alignment horizontal="left" shrinkToFit="0" vertical="center" wrapText="0"/>
    </xf>
    <xf borderId="4" fillId="11" fontId="11" numFmtId="164" xfId="0" applyAlignment="1" applyBorder="1" applyFont="1" applyNumberFormat="1">
      <alignment horizontal="right" shrinkToFit="0" vertical="center" wrapText="0"/>
    </xf>
    <xf borderId="4" fillId="11" fontId="11" numFmtId="167" xfId="0" applyAlignment="1" applyBorder="1" applyFont="1" applyNumberFormat="1">
      <alignment horizontal="right" shrinkToFit="0" vertical="center" wrapText="0"/>
    </xf>
    <xf borderId="4" fillId="10" fontId="4" numFmtId="0" xfId="0" applyAlignment="1" applyBorder="1" applyFont="1">
      <alignment horizontal="left" shrinkToFit="0" vertical="center" wrapText="0"/>
    </xf>
    <xf borderId="4" fillId="10" fontId="4" numFmtId="164" xfId="0" applyAlignment="1" applyBorder="1" applyFont="1" applyNumberFormat="1">
      <alignment horizontal="right" shrinkToFit="0" vertical="center" wrapText="0"/>
    </xf>
    <xf borderId="4" fillId="10" fontId="12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 shrinkToFit="0" vertical="center" wrapText="0"/>
    </xf>
    <xf borderId="4" fillId="5" fontId="15" numFmtId="0" xfId="0" applyAlignment="1" applyBorder="1" applyFont="1">
      <alignment horizontal="left" shrinkToFit="0" vertical="center" wrapText="0"/>
    </xf>
    <xf borderId="4" fillId="5" fontId="15" numFmtId="164" xfId="0" applyAlignment="1" applyBorder="1" applyFont="1" applyNumberFormat="1">
      <alignment horizontal="center" shrinkToFit="0" vertical="center" wrapText="0"/>
    </xf>
    <xf borderId="4" fillId="7" fontId="15" numFmtId="0" xfId="0" applyAlignment="1" applyBorder="1" applyFont="1">
      <alignment horizontal="center" shrinkToFit="0" vertical="center" wrapText="0"/>
    </xf>
    <xf borderId="4" fillId="4" fontId="15" numFmtId="0" xfId="0" applyAlignment="1" applyBorder="1" applyFont="1">
      <alignment horizontal="left" shrinkToFit="0" vertical="center" wrapText="0"/>
    </xf>
    <xf borderId="4" fillId="4" fontId="15" numFmtId="165" xfId="0" applyAlignment="1" applyBorder="1" applyFont="1" applyNumberFormat="1">
      <alignment horizontal="center" shrinkToFit="0" vertical="center" wrapText="0"/>
    </xf>
    <xf borderId="4" fillId="5" fontId="15" numFmtId="167" xfId="0" applyAlignment="1" applyBorder="1" applyFont="1" applyNumberFormat="1">
      <alignment horizontal="center" shrinkToFit="0" vertical="center" wrapText="0"/>
    </xf>
    <xf borderId="4" fillId="4" fontId="15" numFmtId="166" xfId="0" applyAlignment="1" applyBorder="1" applyFont="1" applyNumberFormat="1">
      <alignment horizontal="center" shrinkToFit="0" vertical="center" wrapText="0"/>
    </xf>
    <xf borderId="4" fillId="5" fontId="16" numFmtId="0" xfId="0" applyAlignment="1" applyBorder="1" applyFont="1">
      <alignment horizontal="left" shrinkToFit="0" vertical="center" wrapText="0"/>
    </xf>
    <xf borderId="4" fillId="5" fontId="17" numFmtId="164" xfId="0" applyAlignment="1" applyBorder="1" applyFont="1" applyNumberFormat="1">
      <alignment horizontal="center" shrinkToFit="0" vertical="center" wrapText="0"/>
    </xf>
    <xf borderId="4" fillId="9" fontId="18" numFmtId="164" xfId="0" applyAlignment="1" applyBorder="1" applyFont="1" applyNumberFormat="1">
      <alignment horizontal="center" shrinkToFit="0" vertical="center" wrapText="0"/>
    </xf>
    <xf borderId="4" fillId="11" fontId="19" numFmtId="164" xfId="0" applyAlignment="1" applyBorder="1" applyFont="1" applyNumberFormat="1">
      <alignment horizontal="center" shrinkToFit="0" vertical="center" wrapText="0"/>
    </xf>
    <xf borderId="4" fillId="12" fontId="14" numFmtId="164" xfId="0" applyAlignment="1" applyBorder="1" applyFill="1" applyFont="1" applyNumberFormat="1">
      <alignment horizontal="center" shrinkToFit="0" vertical="center" wrapText="0"/>
    </xf>
    <xf borderId="1" fillId="7" fontId="2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5" width="15.0"/>
    <col customWidth="1" min="6" max="6" width="34.0"/>
    <col customWidth="1" min="7" max="26" width="8.71"/>
  </cols>
  <sheetData>
    <row r="1" ht="33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4" ht="21.75" customHeight="1">
      <c r="A4" s="5" t="s">
        <v>2</v>
      </c>
      <c r="B4" s="2"/>
      <c r="C4" s="2"/>
      <c r="D4" s="2"/>
      <c r="E4" s="2"/>
      <c r="F4" s="3"/>
    </row>
    <row r="5" ht="27.7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ht="15.0" customHeight="1">
      <c r="A6" s="7" t="s">
        <v>9</v>
      </c>
      <c r="B6" s="8">
        <v>6.5</v>
      </c>
      <c r="C6" s="9"/>
      <c r="D6" s="9"/>
      <c r="E6" s="9"/>
      <c r="F6" s="10" t="s">
        <v>10</v>
      </c>
    </row>
    <row r="7" ht="13.5" customHeight="1">
      <c r="A7" s="11" t="s">
        <v>11</v>
      </c>
      <c r="B7" s="2"/>
      <c r="C7" s="2"/>
      <c r="D7" s="2"/>
      <c r="E7" s="2"/>
      <c r="F7" s="3"/>
    </row>
    <row r="8" ht="15.0" customHeight="1">
      <c r="A8" s="12" t="s">
        <v>12</v>
      </c>
      <c r="B8" s="13"/>
      <c r="C8" s="14">
        <v>0.15</v>
      </c>
      <c r="D8" s="14">
        <v>0.15</v>
      </c>
      <c r="E8" s="14">
        <v>0.15</v>
      </c>
      <c r="F8" s="15" t="s">
        <v>13</v>
      </c>
    </row>
    <row r="9" ht="15.0" customHeight="1">
      <c r="A9" s="7" t="s">
        <v>14</v>
      </c>
      <c r="B9" s="16">
        <v>0.08</v>
      </c>
      <c r="C9" s="16">
        <v>0.09</v>
      </c>
      <c r="D9" s="16">
        <v>0.1</v>
      </c>
      <c r="E9" s="16">
        <v>0.1</v>
      </c>
      <c r="F9" s="10" t="s">
        <v>15</v>
      </c>
    </row>
    <row r="10" ht="15.0" customHeight="1">
      <c r="A10" s="12" t="s">
        <v>16</v>
      </c>
      <c r="B10" s="17">
        <v>1.8</v>
      </c>
      <c r="C10" s="17">
        <v>1.8</v>
      </c>
      <c r="D10" s="17">
        <v>1.8</v>
      </c>
      <c r="E10" s="17">
        <v>1.8</v>
      </c>
      <c r="F10" s="15" t="s">
        <v>17</v>
      </c>
    </row>
    <row r="11" ht="13.5" customHeight="1">
      <c r="A11" s="11" t="s">
        <v>18</v>
      </c>
      <c r="B11" s="2"/>
      <c r="C11" s="2"/>
      <c r="D11" s="2"/>
      <c r="E11" s="2"/>
      <c r="F11" s="3"/>
    </row>
    <row r="12" ht="15.0" customHeight="1">
      <c r="A12" s="7" t="s">
        <v>19</v>
      </c>
      <c r="B12" s="9"/>
      <c r="C12" s="16">
        <v>0.11</v>
      </c>
      <c r="D12" s="16">
        <v>0.17</v>
      </c>
      <c r="E12" s="16">
        <v>0.15</v>
      </c>
      <c r="F12" s="10" t="s">
        <v>20</v>
      </c>
    </row>
    <row r="13" ht="15.0" customHeight="1">
      <c r="A13" s="12" t="s">
        <v>21</v>
      </c>
      <c r="B13" s="14">
        <v>0.05</v>
      </c>
      <c r="C13" s="14">
        <v>0.04</v>
      </c>
      <c r="D13" s="14">
        <v>0.07</v>
      </c>
      <c r="E13" s="14">
        <v>0.08</v>
      </c>
      <c r="F13" s="15" t="s">
        <v>22</v>
      </c>
    </row>
    <row r="14" ht="15.0" customHeight="1">
      <c r="A14" s="7" t="s">
        <v>23</v>
      </c>
      <c r="B14" s="18">
        <v>1.5</v>
      </c>
      <c r="C14" s="18">
        <v>1.5</v>
      </c>
      <c r="D14" s="18">
        <v>1.5</v>
      </c>
      <c r="E14" s="18">
        <v>1.5</v>
      </c>
      <c r="F14" s="10" t="s">
        <v>24</v>
      </c>
    </row>
    <row r="15" ht="15.0" customHeight="1">
      <c r="A15" s="12" t="s">
        <v>25</v>
      </c>
      <c r="B15" s="19">
        <v>0.2</v>
      </c>
      <c r="C15" s="20">
        <v>0.0</v>
      </c>
      <c r="D15" s="20">
        <v>0.0</v>
      </c>
      <c r="E15" s="20">
        <v>0.0</v>
      </c>
      <c r="F15" s="15" t="s">
        <v>26</v>
      </c>
    </row>
    <row r="16" ht="13.5" customHeight="1">
      <c r="A16" s="11" t="s">
        <v>27</v>
      </c>
      <c r="B16" s="2"/>
      <c r="C16" s="2"/>
      <c r="D16" s="2"/>
      <c r="E16" s="2"/>
      <c r="F16" s="3"/>
    </row>
    <row r="17" ht="15.0" customHeight="1">
      <c r="A17" s="7" t="s">
        <v>28</v>
      </c>
      <c r="B17" s="9"/>
      <c r="C17" s="16">
        <v>0.31</v>
      </c>
      <c r="D17" s="16">
        <v>0.41</v>
      </c>
      <c r="E17" s="16">
        <v>0.33</v>
      </c>
      <c r="F17" s="10" t="s">
        <v>29</v>
      </c>
    </row>
    <row r="18" ht="15.0" customHeight="1">
      <c r="A18" s="12" t="s">
        <v>30</v>
      </c>
      <c r="B18" s="14">
        <v>0.08</v>
      </c>
      <c r="C18" s="14">
        <v>0.11</v>
      </c>
      <c r="D18" s="14">
        <v>0.15</v>
      </c>
      <c r="E18" s="14">
        <v>0.19</v>
      </c>
      <c r="F18" s="15" t="s">
        <v>31</v>
      </c>
    </row>
    <row r="19" ht="15.0" customHeight="1">
      <c r="A19" s="7" t="s">
        <v>32</v>
      </c>
      <c r="B19" s="18">
        <v>2.0</v>
      </c>
      <c r="C19" s="18">
        <v>2.0</v>
      </c>
      <c r="D19" s="18">
        <v>2.3</v>
      </c>
      <c r="E19" s="18">
        <v>2.5</v>
      </c>
      <c r="F19" s="10" t="s">
        <v>33</v>
      </c>
    </row>
    <row r="20" ht="15.0" customHeight="1">
      <c r="A20" s="12" t="s">
        <v>34</v>
      </c>
      <c r="B20" s="19">
        <v>0.1</v>
      </c>
      <c r="C20" s="19">
        <v>0.15</v>
      </c>
      <c r="D20" s="20">
        <v>0.0</v>
      </c>
      <c r="E20" s="20">
        <v>0.0</v>
      </c>
      <c r="F20" s="15" t="s">
        <v>35</v>
      </c>
    </row>
    <row r="21" ht="15.75" customHeight="1"/>
    <row r="22" ht="21.75" customHeight="1">
      <c r="A22" s="5" t="s">
        <v>36</v>
      </c>
      <c r="B22" s="2"/>
      <c r="C22" s="2"/>
      <c r="D22" s="2"/>
      <c r="E22" s="2"/>
      <c r="F22" s="3"/>
    </row>
    <row r="23" ht="27.75" customHeight="1">
      <c r="A23" s="6"/>
      <c r="B23" s="6" t="s">
        <v>37</v>
      </c>
      <c r="C23" s="6" t="s">
        <v>5</v>
      </c>
      <c r="D23" s="6" t="s">
        <v>6</v>
      </c>
      <c r="E23" s="6" t="s">
        <v>7</v>
      </c>
      <c r="F23" s="6"/>
    </row>
    <row r="24" ht="21.75" customHeight="1">
      <c r="A24" s="21" t="s">
        <v>38</v>
      </c>
      <c r="B24" s="2"/>
      <c r="C24" s="2"/>
      <c r="D24" s="2"/>
      <c r="E24" s="2"/>
      <c r="F24" s="3"/>
    </row>
    <row r="25" ht="16.5" customHeight="1">
      <c r="A25" s="22" t="s">
        <v>39</v>
      </c>
      <c r="B25" s="23">
        <f>$B$6</f>
        <v>6.5</v>
      </c>
      <c r="C25" s="23">
        <f>B25*(1+$C$8)</f>
        <v>7.475</v>
      </c>
      <c r="D25" s="23">
        <f>C25*(1+$D$8)</f>
        <v>8.59625</v>
      </c>
      <c r="E25" s="23">
        <f>D25*(1+$E$8)</f>
        <v>9.8856875</v>
      </c>
    </row>
    <row r="26" ht="12.75" customHeight="1">
      <c r="A26" s="7" t="s">
        <v>40</v>
      </c>
      <c r="B26" s="24" t="s">
        <v>41</v>
      </c>
      <c r="C26" s="25">
        <f>$C$8</f>
        <v>0.15</v>
      </c>
      <c r="D26" s="25">
        <f>$D$8</f>
        <v>0.15</v>
      </c>
      <c r="E26" s="25">
        <f>$E$8</f>
        <v>0.15</v>
      </c>
    </row>
    <row r="27" ht="12.75" customHeight="1">
      <c r="A27" s="26" t="s">
        <v>42</v>
      </c>
      <c r="B27" s="27">
        <f>$B$9</f>
        <v>0.08</v>
      </c>
      <c r="C27" s="27">
        <f>$C$9</f>
        <v>0.09</v>
      </c>
      <c r="D27" s="27">
        <f>$D$9</f>
        <v>0.1</v>
      </c>
      <c r="E27" s="27">
        <f>$E$9</f>
        <v>0.1</v>
      </c>
    </row>
    <row r="28" ht="15.75" customHeight="1">
      <c r="A28" s="22" t="s">
        <v>43</v>
      </c>
      <c r="B28" s="28">
        <f t="shared" ref="B28:E28" si="1">B25*B27</f>
        <v>0.52</v>
      </c>
      <c r="C28" s="28">
        <f t="shared" si="1"/>
        <v>0.67275</v>
      </c>
      <c r="D28" s="28">
        <f t="shared" si="1"/>
        <v>0.859625</v>
      </c>
      <c r="E28" s="28">
        <f t="shared" si="1"/>
        <v>0.98856875</v>
      </c>
    </row>
    <row r="29" ht="12.75" customHeight="1">
      <c r="A29" s="26" t="s">
        <v>44</v>
      </c>
      <c r="B29" s="29">
        <f>$B$10</f>
        <v>1.8</v>
      </c>
      <c r="C29" s="29">
        <f>$C$10</f>
        <v>1.8</v>
      </c>
      <c r="D29" s="29">
        <f>$D$10</f>
        <v>1.8</v>
      </c>
      <c r="E29" s="29">
        <f>$E$10</f>
        <v>1.8</v>
      </c>
    </row>
    <row r="30" ht="21.75" customHeight="1">
      <c r="A30" s="30" t="s">
        <v>45</v>
      </c>
      <c r="B30" s="31">
        <f t="shared" ref="B30:E30" si="2">B25*B29</f>
        <v>11.7</v>
      </c>
      <c r="C30" s="31">
        <f t="shared" si="2"/>
        <v>13.455</v>
      </c>
      <c r="D30" s="31">
        <f t="shared" si="2"/>
        <v>15.47325</v>
      </c>
      <c r="E30" s="31">
        <f t="shared" si="2"/>
        <v>17.7942375</v>
      </c>
      <c r="F30" s="32" t="s">
        <v>46</v>
      </c>
    </row>
    <row r="31" ht="6.0" customHeight="1"/>
    <row r="32" ht="21.75" customHeight="1">
      <c r="A32" s="33" t="s">
        <v>47</v>
      </c>
      <c r="B32" s="2"/>
      <c r="C32" s="2"/>
      <c r="D32" s="2"/>
      <c r="E32" s="2"/>
      <c r="F32" s="3"/>
    </row>
    <row r="33" ht="16.5" customHeight="1">
      <c r="A33" s="34" t="s">
        <v>39</v>
      </c>
      <c r="B33" s="35">
        <f>$B$6</f>
        <v>6.5</v>
      </c>
      <c r="C33" s="35">
        <f>B33*(1+$C$12)</f>
        <v>7.215</v>
      </c>
      <c r="D33" s="35">
        <f>C33*(1+$D$12)</f>
        <v>8.44155</v>
      </c>
      <c r="E33" s="35">
        <f>D33*(1+$E$12)</f>
        <v>9.7077825</v>
      </c>
    </row>
    <row r="34" ht="12.75" customHeight="1">
      <c r="A34" s="7" t="s">
        <v>40</v>
      </c>
      <c r="B34" s="24" t="s">
        <v>41</v>
      </c>
      <c r="C34" s="25">
        <f>$C$12</f>
        <v>0.11</v>
      </c>
      <c r="D34" s="25">
        <f>$D$12</f>
        <v>0.17</v>
      </c>
      <c r="E34" s="25">
        <f>$E$12</f>
        <v>0.15</v>
      </c>
    </row>
    <row r="35" ht="12.75" customHeight="1">
      <c r="A35" s="26" t="s">
        <v>42</v>
      </c>
      <c r="B35" s="27">
        <f>$B$13</f>
        <v>0.05</v>
      </c>
      <c r="C35" s="27">
        <f>$C$13</f>
        <v>0.04</v>
      </c>
      <c r="D35" s="27">
        <f>$D$13</f>
        <v>0.07</v>
      </c>
      <c r="E35" s="27">
        <f>$E$13</f>
        <v>0.08</v>
      </c>
    </row>
    <row r="36" ht="15.75" customHeight="1">
      <c r="A36" s="34" t="s">
        <v>43</v>
      </c>
      <c r="B36" s="36">
        <f t="shared" ref="B36:E36" si="3">B33*B35</f>
        <v>0.325</v>
      </c>
      <c r="C36" s="36">
        <f t="shared" si="3"/>
        <v>0.2886</v>
      </c>
      <c r="D36" s="36">
        <f t="shared" si="3"/>
        <v>0.5909085</v>
      </c>
      <c r="E36" s="36">
        <f t="shared" si="3"/>
        <v>0.7766226</v>
      </c>
    </row>
    <row r="37" ht="12.75" customHeight="1">
      <c r="A37" s="7" t="s">
        <v>48</v>
      </c>
      <c r="B37" s="37">
        <f>$B$15</f>
        <v>0.2</v>
      </c>
      <c r="C37" s="37">
        <f>$C$15</f>
        <v>0</v>
      </c>
      <c r="D37" s="37">
        <f>$D$15</f>
        <v>0</v>
      </c>
      <c r="E37" s="37">
        <f>$E$15</f>
        <v>0</v>
      </c>
    </row>
    <row r="38" ht="15.75" customHeight="1">
      <c r="A38" s="34" t="s">
        <v>49</v>
      </c>
      <c r="B38" s="36">
        <f t="shared" ref="B38:E38" si="4">B36-B37</f>
        <v>0.125</v>
      </c>
      <c r="C38" s="36">
        <f t="shared" si="4"/>
        <v>0.2886</v>
      </c>
      <c r="D38" s="36">
        <f t="shared" si="4"/>
        <v>0.5909085</v>
      </c>
      <c r="E38" s="36">
        <f t="shared" si="4"/>
        <v>0.7766226</v>
      </c>
    </row>
    <row r="39" ht="12.75" customHeight="1">
      <c r="A39" s="26" t="s">
        <v>44</v>
      </c>
      <c r="B39" s="29">
        <f>$B$14</f>
        <v>1.5</v>
      </c>
      <c r="C39" s="29">
        <f>$C$14</f>
        <v>1.5</v>
      </c>
      <c r="D39" s="29">
        <f>$D$14</f>
        <v>1.5</v>
      </c>
      <c r="E39" s="29">
        <f>$E$14</f>
        <v>1.5</v>
      </c>
    </row>
    <row r="40" ht="21.75" customHeight="1">
      <c r="A40" s="38" t="s">
        <v>45</v>
      </c>
      <c r="B40" s="39">
        <f t="shared" ref="B40:E40" si="5">B33*B39</f>
        <v>9.75</v>
      </c>
      <c r="C40" s="39">
        <f t="shared" si="5"/>
        <v>10.8225</v>
      </c>
      <c r="D40" s="39">
        <f t="shared" si="5"/>
        <v>12.662325</v>
      </c>
      <c r="E40" s="39">
        <f t="shared" si="5"/>
        <v>14.56167375</v>
      </c>
      <c r="F40" s="40" t="s">
        <v>50</v>
      </c>
    </row>
    <row r="41" ht="6.0" customHeight="1"/>
    <row r="42" ht="21.75" customHeight="1">
      <c r="A42" s="41" t="s">
        <v>51</v>
      </c>
      <c r="B42" s="2"/>
      <c r="C42" s="2"/>
      <c r="D42" s="2"/>
      <c r="E42" s="2"/>
      <c r="F42" s="3"/>
    </row>
    <row r="43" ht="16.5" customHeight="1">
      <c r="A43" s="42" t="s">
        <v>39</v>
      </c>
      <c r="B43" s="43">
        <f>$B$6</f>
        <v>6.5</v>
      </c>
      <c r="C43" s="43">
        <f>B43*(1+$C$17)</f>
        <v>8.515</v>
      </c>
      <c r="D43" s="43">
        <f>C43*(1+$D$17)</f>
        <v>12.00615</v>
      </c>
      <c r="E43" s="43">
        <f>D43*(1+$E$17)</f>
        <v>15.9681795</v>
      </c>
    </row>
    <row r="44" ht="12.75" customHeight="1">
      <c r="A44" s="7" t="s">
        <v>40</v>
      </c>
      <c r="B44" s="24" t="s">
        <v>41</v>
      </c>
      <c r="C44" s="25">
        <f>$C$17</f>
        <v>0.31</v>
      </c>
      <c r="D44" s="25">
        <f>$D$17</f>
        <v>0.41</v>
      </c>
      <c r="E44" s="25">
        <f>$E$17</f>
        <v>0.33</v>
      </c>
    </row>
    <row r="45" ht="12.75" customHeight="1">
      <c r="A45" s="26" t="s">
        <v>42</v>
      </c>
      <c r="B45" s="27">
        <f>$B$18</f>
        <v>0.08</v>
      </c>
      <c r="C45" s="27">
        <f>$C$18</f>
        <v>0.11</v>
      </c>
      <c r="D45" s="27">
        <f>$D$18</f>
        <v>0.15</v>
      </c>
      <c r="E45" s="27">
        <f>$E$18</f>
        <v>0.19</v>
      </c>
    </row>
    <row r="46" ht="15.75" customHeight="1">
      <c r="A46" s="42" t="s">
        <v>43</v>
      </c>
      <c r="B46" s="44">
        <f t="shared" ref="B46:E46" si="6">B43*B45</f>
        <v>0.52</v>
      </c>
      <c r="C46" s="44">
        <f t="shared" si="6"/>
        <v>0.93665</v>
      </c>
      <c r="D46" s="44">
        <f t="shared" si="6"/>
        <v>1.8009225</v>
      </c>
      <c r="E46" s="44">
        <f t="shared" si="6"/>
        <v>3.033954105</v>
      </c>
    </row>
    <row r="47" ht="12.75" customHeight="1">
      <c r="A47" s="7" t="s">
        <v>52</v>
      </c>
      <c r="B47" s="37">
        <f>$B$20</f>
        <v>0.1</v>
      </c>
      <c r="C47" s="37">
        <f>$C$20</f>
        <v>0.15</v>
      </c>
      <c r="D47" s="37">
        <f>$D$20</f>
        <v>0</v>
      </c>
      <c r="E47" s="37">
        <f>$E$20</f>
        <v>0</v>
      </c>
    </row>
    <row r="48" ht="15.75" customHeight="1">
      <c r="A48" s="42" t="s">
        <v>49</v>
      </c>
      <c r="B48" s="44">
        <f t="shared" ref="B48:E48" si="7">B46-B47</f>
        <v>0.42</v>
      </c>
      <c r="C48" s="44">
        <f t="shared" si="7"/>
        <v>0.78665</v>
      </c>
      <c r="D48" s="44">
        <f t="shared" si="7"/>
        <v>1.8009225</v>
      </c>
      <c r="E48" s="44">
        <f t="shared" si="7"/>
        <v>3.033954105</v>
      </c>
    </row>
    <row r="49" ht="12.75" customHeight="1">
      <c r="A49" s="26" t="s">
        <v>44</v>
      </c>
      <c r="B49" s="29">
        <f>$B$19</f>
        <v>2</v>
      </c>
      <c r="C49" s="29">
        <f>$C$19</f>
        <v>2</v>
      </c>
      <c r="D49" s="29">
        <f>$D$19</f>
        <v>2.3</v>
      </c>
      <c r="E49" s="29">
        <f>$E$19</f>
        <v>2.5</v>
      </c>
    </row>
    <row r="50" ht="21.75" customHeight="1">
      <c r="A50" s="45" t="s">
        <v>45</v>
      </c>
      <c r="B50" s="46">
        <f t="shared" ref="B50:E50" si="8">B43*B49</f>
        <v>13</v>
      </c>
      <c r="C50" s="46">
        <f t="shared" si="8"/>
        <v>17.03</v>
      </c>
      <c r="D50" s="46">
        <f t="shared" si="8"/>
        <v>27.614145</v>
      </c>
      <c r="E50" s="46">
        <f t="shared" si="8"/>
        <v>39.92044875</v>
      </c>
      <c r="F50" s="47" t="s">
        <v>53</v>
      </c>
    </row>
    <row r="51" ht="6.0" customHeight="1"/>
    <row r="52" ht="15.75" customHeight="1"/>
    <row r="53" ht="25.5" customHeight="1">
      <c r="A53" s="48" t="s">
        <v>54</v>
      </c>
      <c r="B53" s="2"/>
      <c r="C53" s="2"/>
      <c r="D53" s="2"/>
      <c r="E53" s="2"/>
      <c r="F53" s="3"/>
    </row>
    <row r="54" ht="27.75" customHeight="1">
      <c r="A54" s="6" t="s">
        <v>55</v>
      </c>
      <c r="B54" s="6" t="s">
        <v>56</v>
      </c>
      <c r="C54" s="6" t="s">
        <v>57</v>
      </c>
      <c r="D54" s="6" t="s">
        <v>58</v>
      </c>
      <c r="E54" s="6" t="s">
        <v>59</v>
      </c>
      <c r="F54" s="6"/>
    </row>
    <row r="55" ht="15.75" customHeight="1">
      <c r="A55" s="49" t="s">
        <v>39</v>
      </c>
      <c r="B55" s="50">
        <f>E25</f>
        <v>9.8856875</v>
      </c>
      <c r="C55" s="50">
        <f>E33</f>
        <v>9.7077825</v>
      </c>
      <c r="D55" s="50">
        <f>E43</f>
        <v>15.9681795</v>
      </c>
      <c r="E55" s="51" t="s">
        <v>60</v>
      </c>
      <c r="F55" s="49"/>
    </row>
    <row r="56" ht="15.75" customHeight="1">
      <c r="A56" s="52" t="s">
        <v>42</v>
      </c>
      <c r="B56" s="53">
        <f t="shared" ref="B56:B59" si="9">E27</f>
        <v>0.1</v>
      </c>
      <c r="C56" s="53">
        <f>E35</f>
        <v>0.08</v>
      </c>
      <c r="D56" s="53">
        <f>E45</f>
        <v>0.19</v>
      </c>
      <c r="E56" s="51" t="s">
        <v>60</v>
      </c>
      <c r="F56" s="52"/>
    </row>
    <row r="57" ht="15.75" customHeight="1">
      <c r="A57" s="49" t="s">
        <v>43</v>
      </c>
      <c r="B57" s="54">
        <f t="shared" si="9"/>
        <v>0.98856875</v>
      </c>
      <c r="C57" s="54">
        <f t="shared" ref="C57:C59" si="10">E38</f>
        <v>0.7766226</v>
      </c>
      <c r="D57" s="54">
        <f t="shared" ref="D57:D59" si="11">E48</f>
        <v>3.033954105</v>
      </c>
      <c r="E57" s="51" t="s">
        <v>60</v>
      </c>
      <c r="F57" s="49"/>
    </row>
    <row r="58" ht="15.75" customHeight="1">
      <c r="A58" s="52" t="s">
        <v>61</v>
      </c>
      <c r="B58" s="55">
        <f t="shared" si="9"/>
        <v>1.8</v>
      </c>
      <c r="C58" s="55">
        <f t="shared" si="10"/>
        <v>1.5</v>
      </c>
      <c r="D58" s="55">
        <f t="shared" si="11"/>
        <v>2.5</v>
      </c>
      <c r="E58" s="51" t="s">
        <v>60</v>
      </c>
      <c r="F58" s="52"/>
    </row>
    <row r="59" ht="21.75" customHeight="1">
      <c r="A59" s="56" t="s">
        <v>45</v>
      </c>
      <c r="B59" s="57">
        <f t="shared" si="9"/>
        <v>17.7942375</v>
      </c>
      <c r="C59" s="58">
        <f t="shared" si="10"/>
        <v>14.56167375</v>
      </c>
      <c r="D59" s="59">
        <f t="shared" si="11"/>
        <v>39.92044875</v>
      </c>
      <c r="E59" s="60">
        <v>40.0</v>
      </c>
      <c r="F59" s="49"/>
    </row>
    <row r="60" ht="15.75" customHeight="1"/>
    <row r="61" ht="36.0" customHeight="1">
      <c r="A61" s="61" t="s">
        <v>62</v>
      </c>
      <c r="B61" s="2"/>
      <c r="C61" s="2"/>
      <c r="D61" s="2"/>
      <c r="E61" s="2"/>
      <c r="F61" s="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4:F24"/>
    <mergeCell ref="A32:F32"/>
    <mergeCell ref="A42:F42"/>
    <mergeCell ref="A53:F53"/>
    <mergeCell ref="A61:F61"/>
    <mergeCell ref="A1:F1"/>
    <mergeCell ref="A2:F2"/>
    <mergeCell ref="A4:F4"/>
    <mergeCell ref="A7:F7"/>
    <mergeCell ref="A11:F11"/>
    <mergeCell ref="A16:F16"/>
    <mergeCell ref="A22:F22"/>
  </mergeCells>
  <printOptions/>
  <pageMargins bottom="1.0" footer="0.0" header="0.0" left="0.75" right="0.75" top="1.0"/>
  <pageSetup paperSize="9" orientation="portrait"/>
  <drawing r:id="rId1"/>
</worksheet>
</file>