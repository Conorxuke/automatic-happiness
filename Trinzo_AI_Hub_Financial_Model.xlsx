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Cost Model" sheetId="2" r:id="rId6"/>
    <sheet state="visible" name="Revenue Model" sheetId="3" r:id="rId7"/>
    <sheet state="visible" name="ROI Dashboard" sheetId="4" r:id="rId8"/>
  </sheets>
  <definedNames/>
  <calcPr/>
</workbook>
</file>

<file path=xl/sharedStrings.xml><?xml version="1.0" encoding="utf-8"?>
<sst xmlns="http://schemas.openxmlformats.org/spreadsheetml/2006/main" count="175" uniqueCount="129">
  <si>
    <t>Trinzo AI Hub — Financial Model Assumptions</t>
  </si>
  <si>
    <t>Blue cells = editable inputs.  All figures in euros (€).  Model covers 2026–2029.</t>
  </si>
  <si>
    <t>CURRENT TEAM COSTS</t>
  </si>
  <si>
    <t>Annual (€)</t>
  </si>
  <si>
    <t>AI Hub %</t>
  </si>
  <si>
    <t>AI Hub Cost (€)</t>
  </si>
  <si>
    <t>Notes</t>
  </si>
  <si>
    <t>Conor Flynn — salary</t>
  </si>
  <si>
    <t>1/3 to leadership/business</t>
  </si>
  <si>
    <t>Conor Flynn — pension (5%)</t>
  </si>
  <si>
    <t>Conor Flynn — VHI</t>
  </si>
  <si>
    <t>Conor Flynn — employer PRSI</t>
  </si>
  <si>
    <t>Ciara Griffin — salary (current)</t>
  </si>
  <si>
    <t>Departing in 6 weeks</t>
  </si>
  <si>
    <t>Ciara Griffin — pension (5%)</t>
  </si>
  <si>
    <t>Ciara Griffin — VHI</t>
  </si>
  <si>
    <t>Ciara Griffin — employer PRSI</t>
  </si>
  <si>
    <t>Colm — external contractor</t>
  </si>
  <si>
    <t>50% to AI Hub</t>
  </si>
  <si>
    <t>Discretionary budget</t>
  </si>
  <si>
    <t>Events, ad-hoc contractors</t>
  </si>
  <si>
    <t>TOTAL CURRENT AI HUB COST</t>
  </si>
  <si>
    <t>NEW TEAM COSTS (replacing Ciara with Coordinator)</t>
  </si>
  <si>
    <t>Coordinator — salary</t>
  </si>
  <si>
    <t>Midpoint €50-60k range</t>
  </si>
  <si>
    <t>Coordinator — pension (5%)</t>
  </si>
  <si>
    <t>Coordinator — VHI</t>
  </si>
  <si>
    <t>Coordinator — employer PRSI</t>
  </si>
  <si>
    <t>~10.95% on salary</t>
  </si>
  <si>
    <t>Adeline — automation engagement</t>
  </si>
  <si>
    <t>One-off, Year 1 only</t>
  </si>
  <si>
    <t>NET INCREMENTAL COST vs CIARA (Year 1)</t>
  </si>
  <si>
    <t>EI RD&amp;I GRANT ASSUMPTIONS</t>
  </si>
  <si>
    <t>Total grant programme value (4 years)</t>
  </si>
  <si>
    <t>Grant return rate (midpoint 65%)</t>
  </si>
  <si>
    <t>Government returns over 4 years</t>
  </si>
  <si>
    <t>Net Trinzo investment over 4 years</t>
  </si>
  <si>
    <t>Net Trinzo investment per year</t>
  </si>
  <si>
    <t>R&amp;D tax credit rate on AI project work</t>
  </si>
  <si>
    <t>EI GRANT CONTRACTOR BENCH (annual costs, when active)</t>
  </si>
  <si>
    <t>Role</t>
  </si>
  <si>
    <t>Day Rate (€)</t>
  </si>
  <si>
    <t>Days/Week</t>
  </si>
  <si>
    <t>Weeks/Year</t>
  </si>
  <si>
    <t>Annual Cost (€)</t>
  </si>
  <si>
    <t>AI/ML Engineer</t>
  </si>
  <si>
    <t>Knowledge Graph Specialist</t>
  </si>
  <si>
    <t>AI Integration Developer</t>
  </si>
  <si>
    <t>Life Science Regulatory SME</t>
  </si>
  <si>
    <t>Content &amp; Marketing Specialist</t>
  </si>
  <si>
    <t>TOTAL CONTRACTOR BENCH (annual)</t>
  </si>
  <si>
    <t>REVENUE ASSUMPTIONS</t>
  </si>
  <si>
    <t>2026 direct AI billings (YTD Jan-May confirmed)</t>
  </si>
  <si>
    <t>Source: Management accounts, May 2026</t>
  </si>
  <si>
    <t>2026 full-year direct AI billings (estimate)</t>
  </si>
  <si>
    <t>Conservative extrapolation</t>
  </si>
  <si>
    <t>2026 AI-attributable core business revenue (YTD)</t>
  </si>
  <si>
    <t>Source: Contracts signed Jan-May 2026 — confirmed</t>
  </si>
  <si>
    <t>2026 full-year AI-attributable (estimate)</t>
  </si>
  <si>
    <t>Conservative: €1.1M confirmed + €700k H2 estimate</t>
  </si>
  <si>
    <t>Without EI Grant: annual revenue growth rate (midpoint 50-70%)</t>
  </si>
  <si>
    <t>Management estimate</t>
  </si>
  <si>
    <t>With EI Grant: Year 2 growth</t>
  </si>
  <si>
    <t>With EI Grant: Year 3 growth</t>
  </si>
  <si>
    <t>With EI Grant: Year 4 growth</t>
  </si>
  <si>
    <t>AI-attributable core business: annual growth rate (10-20%)</t>
  </si>
  <si>
    <t>Trinzo AI Hub — 4-Year Cost Model  (2026–2029)</t>
  </si>
  <si>
    <t>Blue = inputs  |  Black = formulas  |  Green = links from Assumptions sheet</t>
  </si>
  <si>
    <t>2026</t>
  </si>
  <si>
    <t>2027</t>
  </si>
  <si>
    <t>2028</t>
  </si>
  <si>
    <t>2029</t>
  </si>
  <si>
    <t>4-Yr Total</t>
  </si>
  <si>
    <t>SCENARIO A — WITHOUT EI GRANT</t>
  </si>
  <si>
    <t>Conor Flynn (AI Hub portion — 2/3)</t>
  </si>
  <si>
    <t>AI Project Delivery Coordinator (all-in)</t>
  </si>
  <si>
    <t>Adeline — automation build (Year 1 only)</t>
  </si>
  <si>
    <t>Colm (50% allocation)</t>
  </si>
  <si>
    <t>R&amp;D Tax Credit recovery (30-35% on qualifying work)</t>
  </si>
  <si>
    <t>NET COST — Scenario A (Without EI Grant)</t>
  </si>
  <si>
    <t>SCENARIO B — WITH EI GRANT</t>
  </si>
  <si>
    <t>Contractor bench (EI-funded roles, active Yr 2 onward)</t>
  </si>
  <si>
    <t>EI Grant returns (60-70% of grant programme spend)</t>
  </si>
  <si>
    <t>NET COST — Scenario B (With EI Grant)</t>
  </si>
  <si>
    <t>Trinzo AI Hub — 4-Year Revenue Model  (2026–2029)</t>
  </si>
  <si>
    <t>Blue = management inputs  |  Black = formula-driven  |  Green = Assumptions links  |  Year 3-4 grow at assumption rates from Year 2 actuals</t>
  </si>
  <si>
    <t>Revenue Stream</t>
  </si>
  <si>
    <t>SCENARIO A — WITHOUT EI GRANT  |  Direct AI growth: 60%/yr from Year 2 (midpoint 50-70%)</t>
  </si>
  <si>
    <t>DIRECT AI REVENUE</t>
  </si>
  <si>
    <t xml:space="preserve">  AI Training &amp; Education</t>
  </si>
  <si>
    <t xml:space="preserve">  POC Factory</t>
  </si>
  <si>
    <t xml:space="preserve">  Partner Implementations</t>
  </si>
  <si>
    <t>Total Direct AI Revenue — Scenario A</t>
  </si>
  <si>
    <t>AI-Attributable Core Business Revenue  ★</t>
  </si>
  <si>
    <t xml:space="preserve">  ★ €1.1M confirmed signed contracts Jan–May 2026 alone (Source: Management accounts, May 2026)</t>
  </si>
  <si>
    <t>TOTAL AI-ATTRIBUTABLE REVENUE — Scenario A</t>
  </si>
  <si>
    <t>SCENARIO B — WITH EI GRANT  |  Growth: 100% Yr2 / 75% Yr3 / 50% Yr4</t>
  </si>
  <si>
    <t>Total Direct AI Revenue — Scenario B</t>
  </si>
  <si>
    <t>TOTAL AI-ATTRIBUTABLE REVENUE — Scenario B</t>
  </si>
  <si>
    <t>DIRECT AI REVENUE — SCENARIO COMPARISON</t>
  </si>
  <si>
    <t>Stream</t>
  </si>
  <si>
    <t>Scenario</t>
  </si>
  <si>
    <t>AI Training</t>
  </si>
  <si>
    <t>A – No EI (60%/yr)</t>
  </si>
  <si>
    <t>B – EI Grant</t>
  </si>
  <si>
    <t>POC Factory</t>
  </si>
  <si>
    <t>Partner Impl.</t>
  </si>
  <si>
    <t>TOTAL DIRECT</t>
  </si>
  <si>
    <t>A – No EI</t>
  </si>
  <si>
    <t>Trinzo AI Hub — ROI Dashboard  |  Net Investment vs Revenue Return</t>
  </si>
  <si>
    <t>Shows net Trinzo investment after government returns, set against AI-attributable revenue. The case for leadership.</t>
  </si>
  <si>
    <t>CURRENT STATE BASELINE (2026 actual)</t>
  </si>
  <si>
    <t>Current AI Hub total cost</t>
  </si>
  <si>
    <t>AI-attributable revenue (YTD confirmed, annualised)</t>
  </si>
  <si>
    <t>CURRENT ROI RATIO (revenue per € invested)</t>
  </si>
  <si>
    <t>€1.1M signed contracts vs €179k investment = already &gt;6x</t>
  </si>
  <si>
    <t>Net Hub investment (after R&amp;D tax credits)</t>
  </si>
  <si>
    <t>Total AI-attributable revenue</t>
  </si>
  <si>
    <t>Net value generated (Revenue − Cost)</t>
  </si>
  <si>
    <t>ROI RATIO — Scenario A</t>
  </si>
  <si>
    <t>Net Hub investment (after grant returns + R&amp;D credits)</t>
  </si>
  <si>
    <t>ROI RATIO — Scenario B</t>
  </si>
  <si>
    <t>KEY MESSAGES FOR LEADERSHIP</t>
  </si>
  <si>
    <t>1.  The AI Hub already generates &gt;6x return on investment through AI-attributable pipeline and contracts.</t>
  </si>
  <si>
    <t>2.  The incremental cost of the new team model is modest — coordinator replaces Ciara at only ~€15-25k more per year.</t>
  </si>
  <si>
    <t>3.  The EI grant programme (€2.1M) is 60-70% government-funded — Trinzo's net investment is ~€160-210k/year.</t>
  </si>
  <si>
    <t>4.  R&amp;D tax credits (30-35%) apply to all qualifying AI project work, reducing the effective cost further.</t>
  </si>
  <si>
    <t>5.  Without investment, the engine that generated €1.1M in contracts in 5 months loses its operational backbone.</t>
  </si>
  <si>
    <t>6.  With EI Grant: 4-year cumulative revenue substantially outpaces net investment with improving ROI each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</si>
</sst>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€#,##0;&quot;(€&quot;#,##0\);\-"/>
    <numFmt numFmtId="165" formatCode="0.0%;\(0.0%\);\-"/>
    <numFmt numFmtId="166" formatCode="0.0"/>
    <numFmt numFmtId="167" formatCode="#,##0;\(#,##0\);\-"/>
    <numFmt numFmtId="168" formatCode="0.0\x"/>
  </numFmts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>
      <b/>
      <sz val="10.0"/>
      <color rgb="FF000000"/>
      <name val="Arial"/>
    </font>
    <font>
      <b/>
      <sz val="13.0"/>
      <color rgb="FFFFFFFF"/>
      <name val="Arial"/>
    </font>
    <font>
      <sz val="10.0"/>
      <color rgb="FF008000"/>
      <name val="Arial"/>
    </font>
    <font>
      <b/>
      <sz val="10.0"/>
      <color rgb="FF1F3864"/>
      <name val="Arial"/>
    </font>
    <font>
      <sz val="10.0"/>
      <color rgb="FFFFFFFF"/>
      <name val="Arial"/>
    </font>
    <font>
      <b/>
      <sz val="10.0"/>
      <color rgb="FFC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5E8F0"/>
        <bgColor rgb="FFD5E8F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left" shrinkToFit="0" vertical="center" wrapText="0"/>
    </xf>
    <xf borderId="5" fillId="0" fontId="2" numFmtId="0" xfId="0" applyBorder="1" applyFont="1"/>
    <xf borderId="6" fillId="3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left" shrinkToFit="0" vertical="center" wrapText="1"/>
    </xf>
    <xf borderId="6" fillId="4" fontId="6" numFmtId="0" xfId="0" applyAlignment="1" applyBorder="1" applyFill="1" applyFont="1">
      <alignment horizontal="left" shrinkToFit="0" vertical="center" wrapText="0"/>
    </xf>
    <xf borderId="6" fillId="4" fontId="7" numFmtId="164" xfId="0" applyAlignment="1" applyBorder="1" applyFont="1" applyNumberFormat="1">
      <alignment horizontal="right" shrinkToFit="0" vertical="center" wrapText="0"/>
    </xf>
    <xf borderId="6" fillId="4" fontId="7" numFmtId="165" xfId="0" applyAlignment="1" applyBorder="1" applyFont="1" applyNumberFormat="1">
      <alignment horizontal="right" shrinkToFit="0" vertical="center" wrapText="0"/>
    </xf>
    <xf borderId="6" fillId="4" fontId="6" numFmtId="164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horizontal="left" shrinkToFit="0" vertical="center" wrapText="1"/>
    </xf>
    <xf borderId="6" fillId="5" fontId="6" numFmtId="0" xfId="0" applyAlignment="1" applyBorder="1" applyFill="1" applyFont="1">
      <alignment horizontal="left" shrinkToFit="0" vertical="center" wrapText="0"/>
    </xf>
    <xf borderId="6" fillId="5" fontId="7" numFmtId="164" xfId="0" applyAlignment="1" applyBorder="1" applyFont="1" applyNumberFormat="1">
      <alignment horizontal="right" shrinkToFit="0" vertical="center" wrapText="0"/>
    </xf>
    <xf borderId="6" fillId="5" fontId="7" numFmtId="165" xfId="0" applyAlignment="1" applyBorder="1" applyFont="1" applyNumberFormat="1">
      <alignment horizontal="right" shrinkToFit="0" vertical="center" wrapText="0"/>
    </xf>
    <xf borderId="6" fillId="5" fontId="6" numFmtId="164" xfId="0" applyAlignment="1" applyBorder="1" applyFont="1" applyNumberFormat="1">
      <alignment horizontal="right" shrinkToFit="0" vertical="center" wrapText="0"/>
    </xf>
    <xf borderId="6" fillId="6" fontId="8" numFmtId="0" xfId="0" applyAlignment="1" applyBorder="1" applyFill="1" applyFont="1">
      <alignment horizontal="left" shrinkToFit="0" vertical="center" wrapText="0"/>
    </xf>
    <xf borderId="6" fillId="6" fontId="4" numFmtId="0" xfId="0" applyAlignment="1" applyBorder="1" applyFont="1">
      <alignment shrinkToFit="0" vertical="bottom" wrapText="0"/>
    </xf>
    <xf borderId="6" fillId="6" fontId="6" numFmtId="164" xfId="0" applyAlignment="1" applyBorder="1" applyFont="1" applyNumberFormat="1">
      <alignment horizontal="right" shrinkToFit="0" vertical="center" wrapText="0"/>
    </xf>
    <xf borderId="6" fillId="7" fontId="8" numFmtId="0" xfId="0" applyAlignment="1" applyBorder="1" applyFill="1" applyFont="1">
      <alignment horizontal="left" shrinkToFit="0" vertical="center" wrapText="0"/>
    </xf>
    <xf borderId="6" fillId="7" fontId="4" numFmtId="0" xfId="0" applyAlignment="1" applyBorder="1" applyFont="1">
      <alignment shrinkToFit="0" vertical="bottom" wrapText="0"/>
    </xf>
    <xf borderId="6" fillId="7" fontId="6" numFmtId="164" xfId="0" applyAlignment="1" applyBorder="1" applyFont="1" applyNumberFormat="1">
      <alignment horizontal="right" shrinkToFit="0" vertical="center" wrapText="0"/>
    </xf>
    <xf borderId="7" fillId="0" fontId="2" numFmtId="0" xfId="0" applyBorder="1" applyFont="1"/>
    <xf borderId="6" fillId="4" fontId="4" numFmtId="0" xfId="0" applyAlignment="1" applyBorder="1" applyFont="1">
      <alignment shrinkToFit="0" vertical="bottom" wrapText="0"/>
    </xf>
    <xf borderId="6" fillId="5" fontId="4" numFmtId="0" xfId="0" applyAlignment="1" applyBorder="1" applyFont="1">
      <alignment shrinkToFit="0" vertical="bottom" wrapText="0"/>
    </xf>
    <xf borderId="6" fillId="4" fontId="7" numFmtId="166" xfId="0" applyAlignment="1" applyBorder="1" applyFont="1" applyNumberFormat="1">
      <alignment horizontal="right" shrinkToFit="0" vertical="center" wrapText="0"/>
    </xf>
    <xf borderId="6" fillId="4" fontId="7" numFmtId="167" xfId="0" applyAlignment="1" applyBorder="1" applyFont="1" applyNumberFormat="1">
      <alignment horizontal="right" shrinkToFit="0" vertical="center" wrapText="0"/>
    </xf>
    <xf borderId="6" fillId="5" fontId="7" numFmtId="166" xfId="0" applyAlignment="1" applyBorder="1" applyFont="1" applyNumberFormat="1">
      <alignment horizontal="right" shrinkToFit="0" vertical="center" wrapText="0"/>
    </xf>
    <xf borderId="6" fillId="5" fontId="7" numFmtId="167" xfId="0" applyAlignment="1" applyBorder="1" applyFont="1" applyNumberFormat="1">
      <alignment horizontal="right" shrinkToFit="0" vertical="center" wrapText="0"/>
    </xf>
    <xf borderId="6" fillId="7" fontId="6" numFmtId="0" xfId="0" applyAlignment="1" applyBorder="1" applyFont="1">
      <alignment horizontal="left" shrinkToFit="0" vertical="center" wrapText="0"/>
    </xf>
    <xf borderId="6" fillId="7" fontId="7" numFmtId="164" xfId="0" applyAlignment="1" applyBorder="1" applyFont="1" applyNumberFormat="1">
      <alignment horizontal="right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shrinkToFit="0" vertical="center" wrapText="1"/>
    </xf>
    <xf borderId="6" fillId="4" fontId="10" numFmtId="164" xfId="0" applyAlignment="1" applyBorder="1" applyFont="1" applyNumberFormat="1">
      <alignment horizontal="right" shrinkToFit="0" vertical="center" wrapText="0"/>
    </xf>
    <xf borderId="6" fillId="5" fontId="10" numFmtId="164" xfId="0" applyAlignment="1" applyBorder="1" applyFont="1" applyNumberFormat="1">
      <alignment horizontal="right" shrinkToFit="0" vertical="center" wrapText="0"/>
    </xf>
    <xf borderId="6" fillId="8" fontId="8" numFmtId="0" xfId="0" applyAlignment="1" applyBorder="1" applyFill="1" applyFont="1">
      <alignment horizontal="left" shrinkToFit="0" vertical="center" wrapText="0"/>
    </xf>
    <xf borderId="6" fillId="8" fontId="10" numFmtId="164" xfId="0" applyAlignment="1" applyBorder="1" applyFont="1" applyNumberFormat="1">
      <alignment horizontal="right" shrinkToFit="0" vertical="center" wrapText="0"/>
    </xf>
    <xf borderId="6" fillId="8" fontId="6" numFmtId="164" xfId="0" applyAlignment="1" applyBorder="1" applyFont="1" applyNumberFormat="1">
      <alignment horizontal="right" shrinkToFit="0" vertical="center" wrapText="0"/>
    </xf>
    <xf borderId="6" fillId="2" fontId="5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center" shrinkToFit="0" vertical="center" wrapText="0"/>
    </xf>
    <xf borderId="8" fillId="0" fontId="2" numFmtId="0" xfId="0" applyBorder="1" applyFont="1"/>
    <xf borderId="6" fillId="7" fontId="11" numFmtId="0" xfId="0" applyAlignment="1" applyBorder="1" applyFont="1">
      <alignment horizontal="left" shrinkToFit="0" vertical="center" wrapText="0"/>
    </xf>
    <xf borderId="6" fillId="7" fontId="10" numFmtId="164" xfId="0" applyAlignment="1" applyBorder="1" applyFont="1" applyNumberFormat="1">
      <alignment horizontal="right" shrinkToFit="0" vertical="center" wrapText="0"/>
    </xf>
    <xf borderId="1" fillId="7" fontId="3" numFmtId="0" xfId="0" applyAlignment="1" applyBorder="1" applyFont="1">
      <alignment shrinkToFit="0" vertical="bottom" wrapText="0"/>
    </xf>
    <xf borderId="6" fillId="2" fontId="5" numFmtId="0" xfId="0" applyAlignment="1" applyBorder="1" applyFont="1">
      <alignment horizontal="left" shrinkToFit="0" vertical="center" wrapText="0"/>
    </xf>
    <xf borderId="6" fillId="2" fontId="12" numFmtId="164" xfId="0" applyAlignment="1" applyBorder="1" applyFont="1" applyNumberFormat="1">
      <alignment horizontal="right" shrinkToFit="0" vertical="center" wrapText="0"/>
    </xf>
    <xf borderId="6" fillId="6" fontId="6" numFmtId="0" xfId="0" applyAlignment="1" applyBorder="1" applyFont="1">
      <alignment horizontal="left" shrinkToFit="0" vertical="center" wrapText="0"/>
    </xf>
    <xf borderId="6" fillId="7" fontId="6" numFmtId="168" xfId="0" applyAlignment="1" applyBorder="1" applyFont="1" applyNumberFormat="1">
      <alignment horizontal="right" shrinkToFit="0" vertical="center" wrapText="0"/>
    </xf>
    <xf borderId="6" fillId="6" fontId="6" numFmtId="168" xfId="0" applyAlignment="1" applyBorder="1" applyFont="1" applyNumberFormat="1">
      <alignment horizontal="right" shrinkToFit="0" vertical="center" wrapText="0"/>
    </xf>
    <xf borderId="4" fillId="8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5" width="18.0"/>
    <col customWidth="1" min="6" max="6" width="28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15.0" customHeight="1">
      <c r="A2" s="4" t="s">
        <v>1</v>
      </c>
    </row>
    <row r="3">
      <c r="A3" s="5"/>
      <c r="B3" s="5"/>
      <c r="C3" s="5"/>
      <c r="D3" s="5"/>
      <c r="E3" s="5"/>
      <c r="F3" s="5"/>
    </row>
    <row r="4" ht="15.0" customHeight="1">
      <c r="A4" s="6" t="s">
        <v>2</v>
      </c>
      <c r="B4" s="7"/>
      <c r="C4" s="8" t="s">
        <v>3</v>
      </c>
      <c r="D4" s="8" t="s">
        <v>4</v>
      </c>
      <c r="E4" s="8" t="s">
        <v>5</v>
      </c>
      <c r="F4" s="9" t="s">
        <v>6</v>
      </c>
    </row>
    <row r="5" ht="21.75" customHeight="1">
      <c r="A5" s="10" t="s">
        <v>7</v>
      </c>
      <c r="B5" s="11">
        <v>130000.0</v>
      </c>
      <c r="C5" s="12">
        <v>0.667</v>
      </c>
      <c r="D5" s="13">
        <f t="shared" ref="D5:D14" si="1">B5*C5</f>
        <v>86710</v>
      </c>
      <c r="E5" s="14" t="s">
        <v>8</v>
      </c>
      <c r="F5" s="5"/>
    </row>
    <row r="6" ht="15.0" customHeight="1">
      <c r="A6" s="15" t="s">
        <v>9</v>
      </c>
      <c r="B6" s="16">
        <v>6500.0</v>
      </c>
      <c r="C6" s="17">
        <v>0.667</v>
      </c>
      <c r="D6" s="18">
        <f t="shared" si="1"/>
        <v>4335.5</v>
      </c>
      <c r="E6" s="14"/>
      <c r="F6" s="5"/>
    </row>
    <row r="7" ht="15.0" customHeight="1">
      <c r="A7" s="10" t="s">
        <v>10</v>
      </c>
      <c r="B7" s="11">
        <v>1500.0</v>
      </c>
      <c r="C7" s="12">
        <v>0.667</v>
      </c>
      <c r="D7" s="13">
        <f t="shared" si="1"/>
        <v>1000.5</v>
      </c>
      <c r="E7" s="14"/>
      <c r="F7" s="5"/>
    </row>
    <row r="8" ht="15.0" customHeight="1">
      <c r="A8" s="15" t="s">
        <v>11</v>
      </c>
      <c r="B8" s="16">
        <v>14235.0</v>
      </c>
      <c r="C8" s="17">
        <v>0.667</v>
      </c>
      <c r="D8" s="18">
        <f t="shared" si="1"/>
        <v>9494.745</v>
      </c>
      <c r="E8" s="14"/>
      <c r="F8" s="5"/>
    </row>
    <row r="9" ht="15.0" customHeight="1">
      <c r="A9" s="10" t="s">
        <v>12</v>
      </c>
      <c r="B9" s="11">
        <v>42000.0</v>
      </c>
      <c r="C9" s="12">
        <v>1.0</v>
      </c>
      <c r="D9" s="13">
        <f t="shared" si="1"/>
        <v>42000</v>
      </c>
      <c r="E9" s="14" t="s">
        <v>13</v>
      </c>
      <c r="F9" s="5"/>
    </row>
    <row r="10" ht="15.0" customHeight="1">
      <c r="A10" s="15" t="s">
        <v>14</v>
      </c>
      <c r="B10" s="16">
        <v>2100.0</v>
      </c>
      <c r="C10" s="17">
        <v>1.0</v>
      </c>
      <c r="D10" s="18">
        <f t="shared" si="1"/>
        <v>2100</v>
      </c>
      <c r="E10" s="14"/>
      <c r="F10" s="5"/>
    </row>
    <row r="11" ht="15.0" customHeight="1">
      <c r="A11" s="10" t="s">
        <v>15</v>
      </c>
      <c r="B11" s="11">
        <v>1500.0</v>
      </c>
      <c r="C11" s="12">
        <v>1.0</v>
      </c>
      <c r="D11" s="13">
        <f t="shared" si="1"/>
        <v>1500</v>
      </c>
      <c r="E11" s="14"/>
      <c r="F11" s="5"/>
    </row>
    <row r="12" ht="15.0" customHeight="1">
      <c r="A12" s="15" t="s">
        <v>16</v>
      </c>
      <c r="B12" s="16">
        <v>4599.0</v>
      </c>
      <c r="C12" s="17">
        <v>1.0</v>
      </c>
      <c r="D12" s="18">
        <f t="shared" si="1"/>
        <v>4599</v>
      </c>
      <c r="E12" s="14"/>
      <c r="F12" s="5"/>
    </row>
    <row r="13" ht="15.0" customHeight="1">
      <c r="A13" s="10" t="s">
        <v>17</v>
      </c>
      <c r="B13" s="11">
        <v>30000.0</v>
      </c>
      <c r="C13" s="12">
        <v>0.5</v>
      </c>
      <c r="D13" s="13">
        <f t="shared" si="1"/>
        <v>15000</v>
      </c>
      <c r="E13" s="14" t="s">
        <v>18</v>
      </c>
      <c r="F13" s="5"/>
    </row>
    <row r="14" ht="21.75" customHeight="1">
      <c r="A14" s="15" t="s">
        <v>19</v>
      </c>
      <c r="B14" s="16">
        <v>12000.0</v>
      </c>
      <c r="C14" s="17">
        <v>1.0</v>
      </c>
      <c r="D14" s="18">
        <f t="shared" si="1"/>
        <v>12000</v>
      </c>
      <c r="E14" s="14" t="s">
        <v>20</v>
      </c>
      <c r="F14" s="5"/>
    </row>
    <row r="15" ht="15.0" customHeight="1">
      <c r="A15" s="19" t="s">
        <v>21</v>
      </c>
      <c r="B15" s="20"/>
      <c r="C15" s="20"/>
      <c r="D15" s="21">
        <f>SUM(D5:D14)</f>
        <v>178739.745</v>
      </c>
      <c r="E15" s="20"/>
      <c r="F15" s="5"/>
    </row>
    <row r="16">
      <c r="A16" s="5"/>
      <c r="B16" s="5"/>
      <c r="C16" s="5"/>
      <c r="D16" s="5"/>
      <c r="E16" s="5"/>
      <c r="F16" s="5"/>
    </row>
    <row r="17" ht="15.0" customHeight="1">
      <c r="A17" s="6" t="s">
        <v>22</v>
      </c>
      <c r="B17" s="7"/>
      <c r="C17" s="8" t="s">
        <v>3</v>
      </c>
      <c r="D17" s="8" t="s">
        <v>4</v>
      </c>
      <c r="E17" s="8" t="s">
        <v>5</v>
      </c>
      <c r="F17" s="9" t="s">
        <v>6</v>
      </c>
    </row>
    <row r="18" ht="21.75" customHeight="1">
      <c r="A18" s="10" t="s">
        <v>23</v>
      </c>
      <c r="B18" s="11">
        <v>55000.0</v>
      </c>
      <c r="C18" s="12">
        <v>1.0</v>
      </c>
      <c r="D18" s="13">
        <f t="shared" ref="D18:D22" si="2">B18*C18</f>
        <v>55000</v>
      </c>
      <c r="E18" s="14" t="s">
        <v>24</v>
      </c>
      <c r="F18" s="5"/>
    </row>
    <row r="19" ht="15.0" customHeight="1">
      <c r="A19" s="15" t="s">
        <v>25</v>
      </c>
      <c r="B19" s="16">
        <v>2750.0</v>
      </c>
      <c r="C19" s="17">
        <v>1.0</v>
      </c>
      <c r="D19" s="18">
        <f t="shared" si="2"/>
        <v>2750</v>
      </c>
      <c r="E19" s="14"/>
      <c r="F19" s="5"/>
    </row>
    <row r="20" ht="15.0" customHeight="1">
      <c r="A20" s="10" t="s">
        <v>26</v>
      </c>
      <c r="B20" s="11">
        <v>1500.0</v>
      </c>
      <c r="C20" s="12">
        <v>1.0</v>
      </c>
      <c r="D20" s="13">
        <f t="shared" si="2"/>
        <v>1500</v>
      </c>
      <c r="E20" s="14"/>
      <c r="F20" s="5"/>
    </row>
    <row r="21" ht="15.0" customHeight="1">
      <c r="A21" s="15" t="s">
        <v>27</v>
      </c>
      <c r="B21" s="16">
        <v>6023.0</v>
      </c>
      <c r="C21" s="17">
        <v>1.0</v>
      </c>
      <c r="D21" s="18">
        <f t="shared" si="2"/>
        <v>6023</v>
      </c>
      <c r="E21" s="14" t="s">
        <v>28</v>
      </c>
      <c r="F21" s="5"/>
    </row>
    <row r="22" ht="15.0" customHeight="1">
      <c r="A22" s="10" t="s">
        <v>29</v>
      </c>
      <c r="B22" s="11">
        <v>18000.0</v>
      </c>
      <c r="C22" s="12">
        <v>1.0</v>
      </c>
      <c r="D22" s="13">
        <f t="shared" si="2"/>
        <v>18000</v>
      </c>
      <c r="E22" s="14" t="s">
        <v>30</v>
      </c>
      <c r="F22" s="5"/>
    </row>
    <row r="23" ht="15.0" customHeight="1">
      <c r="A23" s="22" t="s">
        <v>31</v>
      </c>
      <c r="B23" s="23"/>
      <c r="C23" s="23"/>
      <c r="D23" s="24">
        <f>SUM(D18:D22)-D9-D10-D11-D12</f>
        <v>33074</v>
      </c>
      <c r="E23" s="23"/>
      <c r="F23" s="5"/>
    </row>
    <row r="24" ht="15.75" customHeight="1">
      <c r="A24" s="5"/>
      <c r="B24" s="5"/>
      <c r="C24" s="5"/>
      <c r="D24" s="5"/>
      <c r="E24" s="5"/>
      <c r="F24" s="5"/>
    </row>
    <row r="25" ht="15.0" customHeight="1">
      <c r="A25" s="6" t="s">
        <v>32</v>
      </c>
      <c r="B25" s="25"/>
      <c r="C25" s="25"/>
      <c r="D25" s="25"/>
      <c r="E25" s="7"/>
      <c r="F25" s="5"/>
    </row>
    <row r="26" ht="15.0" customHeight="1">
      <c r="A26" s="10" t="s">
        <v>33</v>
      </c>
      <c r="B26" s="11">
        <v>2100000.0</v>
      </c>
      <c r="C26" s="26"/>
      <c r="D26" s="26"/>
      <c r="E26" s="26"/>
      <c r="F26" s="5"/>
    </row>
    <row r="27" ht="15.0" customHeight="1">
      <c r="A27" s="15" t="s">
        <v>34</v>
      </c>
      <c r="B27" s="17">
        <v>0.65</v>
      </c>
      <c r="C27" s="27"/>
      <c r="D27" s="27"/>
      <c r="E27" s="27"/>
      <c r="F27" s="5"/>
    </row>
    <row r="28" ht="15.0" customHeight="1">
      <c r="A28" s="10" t="s">
        <v>35</v>
      </c>
      <c r="B28" s="13">
        <f>B26*B27</f>
        <v>1365000</v>
      </c>
      <c r="C28" s="26"/>
      <c r="D28" s="26"/>
      <c r="E28" s="26"/>
      <c r="F28" s="5"/>
    </row>
    <row r="29" ht="15.0" customHeight="1">
      <c r="A29" s="15" t="s">
        <v>36</v>
      </c>
      <c r="B29" s="18">
        <f>B26-B28</f>
        <v>735000</v>
      </c>
      <c r="C29" s="27"/>
      <c r="D29" s="27"/>
      <c r="E29" s="27"/>
      <c r="F29" s="5"/>
    </row>
    <row r="30" ht="15.0" customHeight="1">
      <c r="A30" s="10" t="s">
        <v>37</v>
      </c>
      <c r="B30" s="13">
        <f>B29/4</f>
        <v>183750</v>
      </c>
      <c r="C30" s="26"/>
      <c r="D30" s="26"/>
      <c r="E30" s="26"/>
      <c r="F30" s="5"/>
    </row>
    <row r="31" ht="15.0" customHeight="1">
      <c r="A31" s="15" t="s">
        <v>38</v>
      </c>
      <c r="B31" s="17">
        <v>0.325</v>
      </c>
      <c r="C31" s="27"/>
      <c r="D31" s="27"/>
      <c r="E31" s="27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0" customHeight="1">
      <c r="A34" s="6" t="s">
        <v>39</v>
      </c>
      <c r="B34" s="25"/>
      <c r="C34" s="25"/>
      <c r="D34" s="25"/>
      <c r="E34" s="7"/>
      <c r="F34" s="5"/>
    </row>
    <row r="35" ht="15.0" customHeight="1">
      <c r="A35" s="9" t="s">
        <v>40</v>
      </c>
      <c r="B35" s="8" t="s">
        <v>41</v>
      </c>
      <c r="C35" s="8" t="s">
        <v>42</v>
      </c>
      <c r="D35" s="8" t="s">
        <v>43</v>
      </c>
      <c r="E35" s="8" t="s">
        <v>44</v>
      </c>
      <c r="F35" s="5"/>
    </row>
    <row r="36" ht="15.0" customHeight="1">
      <c r="A36" s="10" t="s">
        <v>45</v>
      </c>
      <c r="B36" s="11">
        <v>600.0</v>
      </c>
      <c r="C36" s="28">
        <v>3.0</v>
      </c>
      <c r="D36" s="29">
        <v>46.0</v>
      </c>
      <c r="E36" s="13">
        <f t="shared" ref="E36:E40" si="3">B36*C36*D36</f>
        <v>82800</v>
      </c>
      <c r="F36" s="5"/>
    </row>
    <row r="37" ht="15.0" customHeight="1">
      <c r="A37" s="15" t="s">
        <v>46</v>
      </c>
      <c r="B37" s="16">
        <v>550.0</v>
      </c>
      <c r="C37" s="30">
        <v>3.0</v>
      </c>
      <c r="D37" s="31">
        <v>46.0</v>
      </c>
      <c r="E37" s="18">
        <f t="shared" si="3"/>
        <v>75900</v>
      </c>
      <c r="F37" s="5"/>
    </row>
    <row r="38" ht="15.0" customHeight="1">
      <c r="A38" s="10" t="s">
        <v>47</v>
      </c>
      <c r="B38" s="11">
        <v>500.0</v>
      </c>
      <c r="C38" s="28">
        <v>2.0</v>
      </c>
      <c r="D38" s="29">
        <v>46.0</v>
      </c>
      <c r="E38" s="13">
        <f t="shared" si="3"/>
        <v>46000</v>
      </c>
      <c r="F38" s="5"/>
    </row>
    <row r="39" ht="15.0" customHeight="1">
      <c r="A39" s="15" t="s">
        <v>48</v>
      </c>
      <c r="B39" s="16">
        <v>900.0</v>
      </c>
      <c r="C39" s="30">
        <v>1.5</v>
      </c>
      <c r="D39" s="31">
        <v>44.0</v>
      </c>
      <c r="E39" s="18">
        <f t="shared" si="3"/>
        <v>59400</v>
      </c>
      <c r="F39" s="5"/>
    </row>
    <row r="40" ht="15.0" customHeight="1">
      <c r="A40" s="10" t="s">
        <v>49</v>
      </c>
      <c r="B40" s="11">
        <v>350.0</v>
      </c>
      <c r="C40" s="28">
        <v>1.5</v>
      </c>
      <c r="D40" s="29">
        <v>44.0</v>
      </c>
      <c r="E40" s="13">
        <f t="shared" si="3"/>
        <v>23100</v>
      </c>
      <c r="F40" s="5"/>
    </row>
    <row r="41" ht="15.0" customHeight="1">
      <c r="A41" s="19" t="s">
        <v>50</v>
      </c>
      <c r="B41" s="20"/>
      <c r="C41" s="20"/>
      <c r="D41" s="20"/>
      <c r="E41" s="21">
        <f>SUM(E36:E40)</f>
        <v>287200</v>
      </c>
      <c r="F41" s="5"/>
    </row>
    <row r="42" ht="15.75" customHeight="1">
      <c r="A42" s="5"/>
      <c r="B42" s="5"/>
      <c r="C42" s="5"/>
      <c r="D42" s="5"/>
      <c r="E42" s="5"/>
      <c r="F42" s="5"/>
    </row>
    <row r="43" ht="15.0" customHeight="1">
      <c r="A43" s="6" t="s">
        <v>51</v>
      </c>
      <c r="B43" s="25"/>
      <c r="C43" s="25"/>
      <c r="D43" s="25"/>
      <c r="E43" s="7"/>
      <c r="F43" s="5"/>
    </row>
    <row r="44" ht="21.75" customHeight="1">
      <c r="A44" s="32" t="s">
        <v>52</v>
      </c>
      <c r="B44" s="33">
        <v>30000.0</v>
      </c>
      <c r="C44" s="23"/>
      <c r="D44" s="23"/>
      <c r="E44" s="14" t="s">
        <v>53</v>
      </c>
      <c r="F44" s="5"/>
    </row>
    <row r="45" ht="21.75" customHeight="1">
      <c r="A45" s="32" t="s">
        <v>54</v>
      </c>
      <c r="B45" s="33">
        <v>60000.0</v>
      </c>
      <c r="C45" s="23"/>
      <c r="D45" s="23"/>
      <c r="E45" s="14" t="s">
        <v>55</v>
      </c>
      <c r="F45" s="5"/>
    </row>
    <row r="46" ht="32.25" customHeight="1">
      <c r="A46" s="32" t="s">
        <v>56</v>
      </c>
      <c r="B46" s="33">
        <v>1100000.0</v>
      </c>
      <c r="C46" s="23"/>
      <c r="D46" s="23"/>
      <c r="E46" s="14" t="s">
        <v>57</v>
      </c>
      <c r="F46" s="5"/>
    </row>
    <row r="47" ht="32.25" customHeight="1">
      <c r="A47" s="32" t="s">
        <v>58</v>
      </c>
      <c r="B47" s="33">
        <v>1800000.0</v>
      </c>
      <c r="C47" s="23"/>
      <c r="D47" s="23"/>
      <c r="E47" s="14" t="s">
        <v>59</v>
      </c>
      <c r="F47" s="5"/>
    </row>
    <row r="48" ht="15.0" customHeight="1">
      <c r="A48" s="10" t="s">
        <v>60</v>
      </c>
      <c r="B48" s="12">
        <v>0.6</v>
      </c>
      <c r="C48" s="26"/>
      <c r="D48" s="26"/>
      <c r="E48" s="14" t="s">
        <v>61</v>
      </c>
      <c r="F48" s="5"/>
    </row>
    <row r="49" ht="15.0" customHeight="1">
      <c r="A49" s="15" t="s">
        <v>62</v>
      </c>
      <c r="B49" s="17">
        <v>1.0</v>
      </c>
      <c r="C49" s="27"/>
      <c r="D49" s="27"/>
      <c r="E49" s="14" t="s">
        <v>61</v>
      </c>
      <c r="F49" s="5"/>
    </row>
    <row r="50" ht="15.0" customHeight="1">
      <c r="A50" s="10" t="s">
        <v>63</v>
      </c>
      <c r="B50" s="12">
        <v>0.75</v>
      </c>
      <c r="C50" s="26"/>
      <c r="D50" s="26"/>
      <c r="E50" s="14" t="s">
        <v>61</v>
      </c>
      <c r="F50" s="5"/>
    </row>
    <row r="51" ht="15.0" customHeight="1">
      <c r="A51" s="15" t="s">
        <v>64</v>
      </c>
      <c r="B51" s="17">
        <v>0.5</v>
      </c>
      <c r="C51" s="27"/>
      <c r="D51" s="27"/>
      <c r="E51" s="14" t="s">
        <v>61</v>
      </c>
      <c r="F51" s="5"/>
    </row>
    <row r="52" ht="15.75" customHeight="1">
      <c r="A52" s="10" t="s">
        <v>65</v>
      </c>
      <c r="B52" s="12">
        <v>0.15</v>
      </c>
      <c r="C52" s="26"/>
      <c r="D52" s="26"/>
      <c r="E52" s="26"/>
      <c r="F52" s="26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7">
    <mergeCell ref="A1:F1"/>
    <mergeCell ref="A2:F2"/>
    <mergeCell ref="A4:B4"/>
    <mergeCell ref="A17:B17"/>
    <mergeCell ref="A25:E25"/>
    <mergeCell ref="A34:E34"/>
    <mergeCell ref="A43:E4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5" width="18.0"/>
    <col customWidth="1" min="6" max="6" width="20.0"/>
    <col customWidth="1" min="7" max="26" width="8.71"/>
  </cols>
  <sheetData>
    <row r="1" ht="25.5" customHeight="1">
      <c r="A1" s="34" t="s">
        <v>66</v>
      </c>
      <c r="B1" s="2"/>
      <c r="C1" s="2"/>
      <c r="D1" s="2"/>
      <c r="E1" s="2"/>
      <c r="F1" s="3"/>
    </row>
    <row r="2" ht="15.0" customHeight="1">
      <c r="A2" s="4" t="s">
        <v>67</v>
      </c>
    </row>
    <row r="3">
      <c r="A3" s="5"/>
      <c r="B3" s="5"/>
      <c r="C3" s="5"/>
      <c r="D3" s="5"/>
      <c r="E3" s="5"/>
      <c r="F3" s="5"/>
    </row>
    <row r="4" ht="15.0" customHeight="1">
      <c r="A4" s="35"/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</row>
    <row r="5" ht="15.0" customHeight="1">
      <c r="A5" s="6" t="s">
        <v>73</v>
      </c>
      <c r="B5" s="25"/>
      <c r="C5" s="25"/>
      <c r="D5" s="25"/>
      <c r="E5" s="25"/>
      <c r="F5" s="7"/>
    </row>
    <row r="6" ht="15.0" customHeight="1">
      <c r="A6" s="10" t="s">
        <v>74</v>
      </c>
      <c r="B6" s="36">
        <f>Assumptions!D5+Assumptions!D6+Assumptions!D7+Assumptions!D8</f>
        <v>101540.745</v>
      </c>
      <c r="C6" s="36">
        <f>Assumptions!D5+Assumptions!D6+Assumptions!D7+Assumptions!D8</f>
        <v>101540.745</v>
      </c>
      <c r="D6" s="36">
        <f>Assumptions!D5+Assumptions!D6+Assumptions!D7+Assumptions!D8</f>
        <v>101540.745</v>
      </c>
      <c r="E6" s="36">
        <f>Assumptions!D5+Assumptions!D6+Assumptions!D7+Assumptions!D8</f>
        <v>101540.745</v>
      </c>
      <c r="F6" s="5"/>
    </row>
    <row r="7" ht="15.0" customHeight="1">
      <c r="A7" s="15" t="s">
        <v>75</v>
      </c>
      <c r="B7" s="37">
        <f>Assumptions!D18+Assumptions!D19+Assumptions!D20+Assumptions!D21</f>
        <v>65273</v>
      </c>
      <c r="C7" s="37">
        <f>Assumptions!D18+Assumptions!D19+Assumptions!D20+Assumptions!D21</f>
        <v>65273</v>
      </c>
      <c r="D7" s="37">
        <f>Assumptions!D18+Assumptions!D19+Assumptions!D20+Assumptions!D21</f>
        <v>65273</v>
      </c>
      <c r="E7" s="37">
        <f>Assumptions!D18+Assumptions!D19+Assumptions!D20+Assumptions!D21</f>
        <v>65273</v>
      </c>
      <c r="F7" s="5"/>
    </row>
    <row r="8" ht="15.0" customHeight="1">
      <c r="A8" s="10" t="s">
        <v>76</v>
      </c>
      <c r="B8" s="36">
        <f>Assumptions!D22</f>
        <v>18000</v>
      </c>
      <c r="C8" s="13"/>
      <c r="D8" s="13"/>
      <c r="E8" s="13"/>
      <c r="F8" s="5"/>
    </row>
    <row r="9" ht="15.0" customHeight="1">
      <c r="A9" s="15" t="s">
        <v>77</v>
      </c>
      <c r="B9" s="37">
        <f>Assumptions!D13</f>
        <v>15000</v>
      </c>
      <c r="C9" s="37">
        <f>Assumptions!D13</f>
        <v>15000</v>
      </c>
      <c r="D9" s="37">
        <f>Assumptions!D13</f>
        <v>15000</v>
      </c>
      <c r="E9" s="37">
        <f>Assumptions!D13</f>
        <v>15000</v>
      </c>
      <c r="F9" s="5"/>
    </row>
    <row r="10" ht="15.0" customHeight="1">
      <c r="A10" s="10" t="s">
        <v>19</v>
      </c>
      <c r="B10" s="36">
        <f>Assumptions!D14</f>
        <v>12000</v>
      </c>
      <c r="C10" s="36">
        <f>Assumptions!D14</f>
        <v>12000</v>
      </c>
      <c r="D10" s="36">
        <f>Assumptions!D14</f>
        <v>12000</v>
      </c>
      <c r="E10" s="36">
        <f>Assumptions!D14</f>
        <v>12000</v>
      </c>
      <c r="F10" s="5"/>
    </row>
    <row r="11" ht="15.0" customHeight="1">
      <c r="A11" s="38" t="s">
        <v>78</v>
      </c>
      <c r="B11" s="39">
        <f>-(C6+C7+C8+C9+C10)*Assumptions!B49</f>
        <v>-193813.745</v>
      </c>
      <c r="C11" s="39">
        <f>-(D6+D7+D8+D9+D10)*Assumptions!B49</f>
        <v>-193813.745</v>
      </c>
      <c r="D11" s="39">
        <f>-(E6+E7+E8+E9+E10)*Assumptions!B49</f>
        <v>-193813.745</v>
      </c>
      <c r="E11" s="39">
        <f>-(F6+F7+F8+F9+F10)*Assumptions!B49</f>
        <v>0</v>
      </c>
      <c r="F11" s="5"/>
    </row>
    <row r="12" ht="15.0" customHeight="1">
      <c r="A12" s="19" t="s">
        <v>79</v>
      </c>
      <c r="B12" s="21">
        <f t="shared" ref="B12:E12" si="1">SUM(B6:B11)</f>
        <v>18000</v>
      </c>
      <c r="C12" s="21">
        <f t="shared" si="1"/>
        <v>0</v>
      </c>
      <c r="D12" s="21">
        <f t="shared" si="1"/>
        <v>0</v>
      </c>
      <c r="E12" s="21">
        <f t="shared" si="1"/>
        <v>193813.745</v>
      </c>
      <c r="F12" s="21">
        <f>SUM(B12:E12)</f>
        <v>211813.745</v>
      </c>
    </row>
    <row r="13">
      <c r="A13" s="5"/>
      <c r="B13" s="5"/>
      <c r="C13" s="5"/>
      <c r="D13" s="5"/>
      <c r="E13" s="5"/>
      <c r="F13" s="5"/>
    </row>
    <row r="14" ht="15.0" customHeight="1">
      <c r="A14" s="6" t="s">
        <v>80</v>
      </c>
      <c r="B14" s="25"/>
      <c r="C14" s="25"/>
      <c r="D14" s="25"/>
      <c r="E14" s="25"/>
      <c r="F14" s="7"/>
    </row>
    <row r="15" ht="15.0" customHeight="1">
      <c r="A15" s="10" t="s">
        <v>74</v>
      </c>
      <c r="B15" s="36">
        <f>Assumptions!D5+Assumptions!D6+Assumptions!D7+Assumptions!D8</f>
        <v>101540.745</v>
      </c>
      <c r="C15" s="36">
        <f>Assumptions!D5+Assumptions!D6+Assumptions!D7+Assumptions!D8</f>
        <v>101540.745</v>
      </c>
      <c r="D15" s="36">
        <f>Assumptions!D5+Assumptions!D6+Assumptions!D7+Assumptions!D8</f>
        <v>101540.745</v>
      </c>
      <c r="E15" s="36">
        <f>Assumptions!D5+Assumptions!D6+Assumptions!D7+Assumptions!D8</f>
        <v>101540.745</v>
      </c>
      <c r="F15" s="5"/>
    </row>
    <row r="16" ht="15.0" customHeight="1">
      <c r="A16" s="15" t="s">
        <v>75</v>
      </c>
      <c r="B16" s="37">
        <f>Assumptions!D18+Assumptions!D19+Assumptions!D20+Assumptions!D21</f>
        <v>65273</v>
      </c>
      <c r="C16" s="37">
        <f>Assumptions!D18+Assumptions!D19+Assumptions!D20+Assumptions!D21</f>
        <v>65273</v>
      </c>
      <c r="D16" s="37">
        <f>Assumptions!D18+Assumptions!D19+Assumptions!D20+Assumptions!D21</f>
        <v>65273</v>
      </c>
      <c r="E16" s="37">
        <f>Assumptions!D18+Assumptions!D19+Assumptions!D20+Assumptions!D21</f>
        <v>65273</v>
      </c>
      <c r="F16" s="5"/>
    </row>
    <row r="17" ht="15.0" customHeight="1">
      <c r="A17" s="10" t="s">
        <v>76</v>
      </c>
      <c r="B17" s="36">
        <f>Assumptions!D22</f>
        <v>18000</v>
      </c>
      <c r="C17" s="13"/>
      <c r="D17" s="13"/>
      <c r="E17" s="13"/>
      <c r="F17" s="5"/>
    </row>
    <row r="18" ht="15.0" customHeight="1">
      <c r="A18" s="15" t="s">
        <v>77</v>
      </c>
      <c r="B18" s="37">
        <f>Assumptions!D13</f>
        <v>15000</v>
      </c>
      <c r="C18" s="37">
        <f>Assumptions!D13</f>
        <v>15000</v>
      </c>
      <c r="D18" s="37">
        <f>Assumptions!D13</f>
        <v>15000</v>
      </c>
      <c r="E18" s="37">
        <f>Assumptions!D13</f>
        <v>15000</v>
      </c>
      <c r="F18" s="5"/>
    </row>
    <row r="19" ht="15.0" customHeight="1">
      <c r="A19" s="10" t="s">
        <v>19</v>
      </c>
      <c r="B19" s="36">
        <f>Assumptions!D14</f>
        <v>12000</v>
      </c>
      <c r="C19" s="36">
        <f>Assumptions!D14</f>
        <v>12000</v>
      </c>
      <c r="D19" s="36">
        <f>Assumptions!D14</f>
        <v>12000</v>
      </c>
      <c r="E19" s="36">
        <f>Assumptions!D14</f>
        <v>12000</v>
      </c>
      <c r="F19" s="5"/>
    </row>
    <row r="20" ht="15.0" customHeight="1">
      <c r="A20" s="15" t="s">
        <v>81</v>
      </c>
      <c r="B20" s="18"/>
      <c r="C20" s="37">
        <f>Assumptions!E41</f>
        <v>287200</v>
      </c>
      <c r="D20" s="37">
        <f>Assumptions!E41</f>
        <v>287200</v>
      </c>
      <c r="E20" s="37">
        <f>Assumptions!E41</f>
        <v>287200</v>
      </c>
      <c r="F20" s="5"/>
    </row>
    <row r="21" ht="15.0" customHeight="1">
      <c r="A21" s="38" t="s">
        <v>82</v>
      </c>
      <c r="B21" s="40"/>
      <c r="C21" s="39">
        <f>-Assumptions!E41*Assumptions!B27</f>
        <v>-186680</v>
      </c>
      <c r="D21" s="39">
        <f>-Assumptions!E41*Assumptions!B27</f>
        <v>-186680</v>
      </c>
      <c r="E21" s="39">
        <f>-Assumptions!E41*Assumptions!B27</f>
        <v>-186680</v>
      </c>
      <c r="F21" s="5"/>
    </row>
    <row r="22" ht="15.0" customHeight="1">
      <c r="A22" s="38" t="s">
        <v>78</v>
      </c>
      <c r="B22" s="39">
        <f>-(B15+B16+B17+B18+B19+B20)*Assumptions!B49</f>
        <v>-211813.745</v>
      </c>
      <c r="C22" s="39">
        <f>-(C15+C16+C17+C18+C19+C20)*Assumptions!B49</f>
        <v>-481013.745</v>
      </c>
      <c r="D22" s="39">
        <f>-(D15+D16+D17+D18+D19+D20)*Assumptions!B49</f>
        <v>-481013.745</v>
      </c>
      <c r="E22" s="39">
        <f>-(E15+E16+E17+E18+E19+E20)*Assumptions!B49</f>
        <v>-481013.745</v>
      </c>
      <c r="F22" s="5"/>
    </row>
    <row r="23" ht="15.0" customHeight="1">
      <c r="A23" s="19" t="s">
        <v>83</v>
      </c>
      <c r="B23" s="21">
        <f t="shared" ref="B23:E23" si="2">SUM(B15:B22)</f>
        <v>0</v>
      </c>
      <c r="C23" s="21">
        <f t="shared" si="2"/>
        <v>-186680</v>
      </c>
      <c r="D23" s="21">
        <f t="shared" si="2"/>
        <v>-186680</v>
      </c>
      <c r="E23" s="21">
        <f t="shared" si="2"/>
        <v>-186680</v>
      </c>
      <c r="F23" s="21">
        <f>SUM(B23:E23)</f>
        <v>-560040</v>
      </c>
    </row>
    <row r="24" ht="15.75" customHeight="1">
      <c r="A24" s="5"/>
      <c r="B24" s="5"/>
      <c r="C24" s="5"/>
      <c r="D24" s="5"/>
      <c r="E24" s="5"/>
      <c r="F24" s="5"/>
    </row>
    <row r="25" ht="15.75" customHeight="1">
      <c r="A25" s="5"/>
      <c r="B25" s="5"/>
      <c r="C25" s="5"/>
      <c r="D25" s="5"/>
      <c r="E25" s="5"/>
      <c r="F25" s="5"/>
    </row>
    <row r="26" ht="15.75" customHeight="1">
      <c r="A26" s="5"/>
      <c r="B26" s="5"/>
      <c r="C26" s="5"/>
      <c r="D26" s="5"/>
      <c r="E26" s="5"/>
      <c r="F26" s="5"/>
    </row>
    <row r="27" ht="15.75" customHeight="1">
      <c r="A27" s="5"/>
      <c r="B27" s="5"/>
      <c r="C27" s="5"/>
      <c r="D27" s="5"/>
      <c r="E27" s="5"/>
      <c r="F27" s="5"/>
    </row>
    <row r="28" ht="15.75" customHeight="1">
      <c r="A28" s="5"/>
      <c r="B28" s="5"/>
      <c r="C28" s="5"/>
      <c r="D28" s="5"/>
      <c r="E28" s="5"/>
      <c r="F28" s="5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4">
    <mergeCell ref="A1:F1"/>
    <mergeCell ref="A2:F2"/>
    <mergeCell ref="A5:F5"/>
    <mergeCell ref="A14:F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2.0"/>
    <col customWidth="1" min="2" max="6" width="17.0"/>
    <col customWidth="1" min="7" max="26" width="8.71"/>
  </cols>
  <sheetData>
    <row r="1" ht="25.5" customHeight="1">
      <c r="A1" s="34" t="s">
        <v>84</v>
      </c>
      <c r="B1" s="2"/>
      <c r="C1" s="2"/>
      <c r="D1" s="2"/>
      <c r="E1" s="2"/>
      <c r="F1" s="3"/>
    </row>
    <row r="2" ht="15.0" customHeight="1">
      <c r="A2" s="4" t="s">
        <v>85</v>
      </c>
    </row>
    <row r="3">
      <c r="A3" s="5"/>
      <c r="B3" s="5"/>
      <c r="C3" s="5"/>
      <c r="D3" s="5"/>
      <c r="E3" s="5"/>
      <c r="F3" s="5"/>
    </row>
    <row r="4" ht="15.0" customHeight="1">
      <c r="A4" s="41" t="s">
        <v>86</v>
      </c>
      <c r="B4" s="42" t="s">
        <v>68</v>
      </c>
      <c r="C4" s="42" t="s">
        <v>69</v>
      </c>
      <c r="D4" s="42" t="s">
        <v>70</v>
      </c>
      <c r="E4" s="42" t="s">
        <v>71</v>
      </c>
      <c r="F4" s="42" t="s">
        <v>72</v>
      </c>
    </row>
    <row r="5" ht="15.0" customHeight="1">
      <c r="A5" s="6" t="s">
        <v>87</v>
      </c>
      <c r="B5" s="25"/>
      <c r="C5" s="25"/>
      <c r="D5" s="25"/>
      <c r="E5" s="25"/>
      <c r="F5" s="43"/>
    </row>
    <row r="6" ht="15.0" customHeight="1">
      <c r="A6" s="19" t="s">
        <v>88</v>
      </c>
      <c r="B6" s="20"/>
      <c r="C6" s="20"/>
      <c r="D6" s="20"/>
      <c r="E6" s="20"/>
      <c r="F6" s="20"/>
    </row>
    <row r="7" ht="15.0" customHeight="1">
      <c r="A7" s="10" t="s">
        <v>89</v>
      </c>
      <c r="B7" s="11">
        <v>60000.0</v>
      </c>
      <c r="C7" s="36">
        <f>B7*(1+Assumptions!B48)</f>
        <v>96000</v>
      </c>
      <c r="D7" s="13">
        <f>C7*(1+Assumptions!B48)</f>
        <v>153600</v>
      </c>
      <c r="E7" s="13">
        <f>D7*(1+Assumptions!B48)</f>
        <v>245760</v>
      </c>
      <c r="F7" s="13">
        <f t="shared" ref="F7:F11" si="1">SUM(B7:E7)</f>
        <v>555360</v>
      </c>
    </row>
    <row r="8" ht="15.0" customHeight="1">
      <c r="A8" s="15" t="s">
        <v>90</v>
      </c>
      <c r="B8" s="16">
        <v>200000.0</v>
      </c>
      <c r="C8" s="37">
        <f>B8*(1+Assumptions!B48)</f>
        <v>320000</v>
      </c>
      <c r="D8" s="18">
        <f>C8*(1+Assumptions!B48)</f>
        <v>512000</v>
      </c>
      <c r="E8" s="18">
        <f>D8*(1+Assumptions!B48)</f>
        <v>819200</v>
      </c>
      <c r="F8" s="18">
        <f t="shared" si="1"/>
        <v>1851200</v>
      </c>
    </row>
    <row r="9" ht="15.0" customHeight="1">
      <c r="A9" s="10" t="s">
        <v>91</v>
      </c>
      <c r="B9" s="11">
        <v>150000.0</v>
      </c>
      <c r="C9" s="36">
        <f>B9*(1+Assumptions!B48)</f>
        <v>240000</v>
      </c>
      <c r="D9" s="13">
        <f>C9*(1+Assumptions!B48)</f>
        <v>384000</v>
      </c>
      <c r="E9" s="13">
        <f>D9*(1+Assumptions!B48)</f>
        <v>614400</v>
      </c>
      <c r="F9" s="13">
        <f t="shared" si="1"/>
        <v>1388400</v>
      </c>
    </row>
    <row r="10" ht="15.0" customHeight="1">
      <c r="A10" s="19" t="s">
        <v>92</v>
      </c>
      <c r="B10" s="21">
        <f t="shared" ref="B10:E10" si="2">B7+B8+B9</f>
        <v>410000</v>
      </c>
      <c r="C10" s="21">
        <f t="shared" si="2"/>
        <v>656000</v>
      </c>
      <c r="D10" s="21">
        <f t="shared" si="2"/>
        <v>1049600</v>
      </c>
      <c r="E10" s="21">
        <f t="shared" si="2"/>
        <v>1679360</v>
      </c>
      <c r="F10" s="21">
        <f t="shared" si="1"/>
        <v>3794960</v>
      </c>
    </row>
    <row r="11" ht="15.0" customHeight="1">
      <c r="A11" s="44" t="s">
        <v>93</v>
      </c>
      <c r="B11" s="45">
        <f>Assumptions!B47</f>
        <v>1800000</v>
      </c>
      <c r="C11" s="45">
        <f>B11*(1+Assumptions!B52)</f>
        <v>2070000</v>
      </c>
      <c r="D11" s="24">
        <f>C11*(1+Assumptions!B52)</f>
        <v>2380500</v>
      </c>
      <c r="E11" s="24">
        <f>D11*(1+Assumptions!B52)</f>
        <v>2737575</v>
      </c>
      <c r="F11" s="24">
        <f t="shared" si="1"/>
        <v>8988075</v>
      </c>
    </row>
    <row r="12" ht="15.0" customHeight="1">
      <c r="A12" s="46" t="s">
        <v>94</v>
      </c>
      <c r="B12" s="2"/>
      <c r="C12" s="2"/>
      <c r="D12" s="2"/>
      <c r="E12" s="2"/>
      <c r="F12" s="3"/>
    </row>
    <row r="13" ht="15.0" customHeight="1">
      <c r="A13" s="47" t="s">
        <v>95</v>
      </c>
      <c r="B13" s="48">
        <f t="shared" ref="B13:E13" si="3">B10+B11</f>
        <v>2210000</v>
      </c>
      <c r="C13" s="48">
        <f t="shared" si="3"/>
        <v>2726000</v>
      </c>
      <c r="D13" s="48">
        <f t="shared" si="3"/>
        <v>3430100</v>
      </c>
      <c r="E13" s="48">
        <f t="shared" si="3"/>
        <v>4416935</v>
      </c>
      <c r="F13" s="48">
        <f>SUM(B13:E13)</f>
        <v>12783035</v>
      </c>
    </row>
    <row r="14">
      <c r="A14" s="5"/>
      <c r="B14" s="5"/>
      <c r="C14" s="5"/>
      <c r="D14" s="5"/>
      <c r="E14" s="5"/>
      <c r="F14" s="5"/>
    </row>
    <row r="15" ht="15.0" customHeight="1">
      <c r="A15" s="6" t="s">
        <v>96</v>
      </c>
      <c r="B15" s="25"/>
      <c r="C15" s="25"/>
      <c r="D15" s="25"/>
      <c r="E15" s="25"/>
      <c r="F15" s="43"/>
    </row>
    <row r="16" ht="15.0" customHeight="1">
      <c r="A16" s="19" t="s">
        <v>88</v>
      </c>
      <c r="B16" s="20"/>
      <c r="C16" s="20"/>
      <c r="D16" s="20"/>
      <c r="E16" s="20"/>
      <c r="F16" s="20"/>
    </row>
    <row r="17" ht="15.0" customHeight="1">
      <c r="A17" s="10" t="s">
        <v>89</v>
      </c>
      <c r="B17" s="11">
        <v>60000.0</v>
      </c>
      <c r="C17" s="11">
        <v>120000.0</v>
      </c>
      <c r="D17" s="36">
        <f>C17*(1+Assumptions!B50)</f>
        <v>210000</v>
      </c>
      <c r="E17" s="36">
        <f>D17*(1+Assumptions!B51)</f>
        <v>315000</v>
      </c>
      <c r="F17" s="13">
        <f t="shared" ref="F17:F22" si="4">SUM(B17:E17)</f>
        <v>705000</v>
      </c>
    </row>
    <row r="18" ht="15.0" customHeight="1">
      <c r="A18" s="15" t="s">
        <v>90</v>
      </c>
      <c r="B18" s="16">
        <v>200000.0</v>
      </c>
      <c r="C18" s="16">
        <v>400000.0</v>
      </c>
      <c r="D18" s="37">
        <f>C18*(1+Assumptions!B50)</f>
        <v>700000</v>
      </c>
      <c r="E18" s="37">
        <f>D18*(1+Assumptions!B51)</f>
        <v>1050000</v>
      </c>
      <c r="F18" s="18">
        <f t="shared" si="4"/>
        <v>2350000</v>
      </c>
    </row>
    <row r="19" ht="15.0" customHeight="1">
      <c r="A19" s="10" t="s">
        <v>91</v>
      </c>
      <c r="B19" s="11">
        <v>150000.0</v>
      </c>
      <c r="C19" s="11">
        <v>300000.0</v>
      </c>
      <c r="D19" s="36">
        <f>C19*(1+Assumptions!B50)</f>
        <v>525000</v>
      </c>
      <c r="E19" s="36">
        <f>D19*(1+Assumptions!B51)</f>
        <v>787500</v>
      </c>
      <c r="F19" s="13">
        <f t="shared" si="4"/>
        <v>1762500</v>
      </c>
    </row>
    <row r="20" ht="15.0" customHeight="1">
      <c r="A20" s="19" t="s">
        <v>97</v>
      </c>
      <c r="B20" s="21">
        <f t="shared" ref="B20:E20" si="5">B17+B18+B19</f>
        <v>410000</v>
      </c>
      <c r="C20" s="21">
        <f t="shared" si="5"/>
        <v>820000</v>
      </c>
      <c r="D20" s="21">
        <f t="shared" si="5"/>
        <v>1435000</v>
      </c>
      <c r="E20" s="21">
        <f t="shared" si="5"/>
        <v>2152500</v>
      </c>
      <c r="F20" s="21">
        <f t="shared" si="4"/>
        <v>4817500</v>
      </c>
    </row>
    <row r="21" ht="15.0" customHeight="1">
      <c r="A21" s="44" t="s">
        <v>93</v>
      </c>
      <c r="B21" s="45">
        <f>Assumptions!B47</f>
        <v>1800000</v>
      </c>
      <c r="C21" s="45">
        <f>B21*(1+Assumptions!B52)</f>
        <v>2070000</v>
      </c>
      <c r="D21" s="45">
        <f>C21*(1+Assumptions!B52)</f>
        <v>2380500</v>
      </c>
      <c r="E21" s="45">
        <f>D21*(1+Assumptions!B52)</f>
        <v>2737575</v>
      </c>
      <c r="F21" s="24">
        <f t="shared" si="4"/>
        <v>8988075</v>
      </c>
    </row>
    <row r="22" ht="15.0" customHeight="1">
      <c r="A22" s="47" t="s">
        <v>98</v>
      </c>
      <c r="B22" s="48">
        <f t="shared" ref="B22:E22" si="6">B20+B21</f>
        <v>2210000</v>
      </c>
      <c r="C22" s="48">
        <f t="shared" si="6"/>
        <v>2890000</v>
      </c>
      <c r="D22" s="48">
        <f t="shared" si="6"/>
        <v>3815500</v>
      </c>
      <c r="E22" s="48">
        <f t="shared" si="6"/>
        <v>4890075</v>
      </c>
      <c r="F22" s="48">
        <f t="shared" si="4"/>
        <v>13805575</v>
      </c>
    </row>
    <row r="23" ht="15.75" customHeight="1">
      <c r="A23" s="5"/>
      <c r="B23" s="5"/>
      <c r="C23" s="5"/>
      <c r="D23" s="5"/>
      <c r="E23" s="5"/>
      <c r="F23" s="5"/>
    </row>
    <row r="24" ht="15.0" customHeight="1">
      <c r="A24" s="6" t="s">
        <v>99</v>
      </c>
      <c r="B24" s="25"/>
      <c r="C24" s="25"/>
      <c r="D24" s="25"/>
      <c r="E24" s="25"/>
      <c r="F24" s="43"/>
    </row>
    <row r="25" ht="15.0" customHeight="1">
      <c r="A25" s="41" t="s">
        <v>100</v>
      </c>
      <c r="B25" s="41" t="s">
        <v>101</v>
      </c>
      <c r="C25" s="42" t="s">
        <v>68</v>
      </c>
      <c r="D25" s="42" t="s">
        <v>69</v>
      </c>
      <c r="E25" s="42" t="s">
        <v>70</v>
      </c>
      <c r="F25" s="42" t="s">
        <v>71</v>
      </c>
    </row>
    <row r="26" ht="15.0" customHeight="1">
      <c r="A26" s="10" t="s">
        <v>102</v>
      </c>
      <c r="B26" s="10" t="s">
        <v>103</v>
      </c>
      <c r="C26" s="13">
        <f t="shared" ref="C26:F26" si="7">B7</f>
        <v>60000</v>
      </c>
      <c r="D26" s="13">
        <f t="shared" si="7"/>
        <v>96000</v>
      </c>
      <c r="E26" s="13">
        <f t="shared" si="7"/>
        <v>153600</v>
      </c>
      <c r="F26" s="13">
        <f t="shared" si="7"/>
        <v>245760</v>
      </c>
    </row>
    <row r="27" ht="15.0" customHeight="1">
      <c r="A27" s="15" t="s">
        <v>102</v>
      </c>
      <c r="B27" s="15" t="s">
        <v>104</v>
      </c>
      <c r="C27" s="18">
        <f t="shared" ref="C27:F27" si="8">B17</f>
        <v>60000</v>
      </c>
      <c r="D27" s="18">
        <f t="shared" si="8"/>
        <v>120000</v>
      </c>
      <c r="E27" s="18">
        <f t="shared" si="8"/>
        <v>210000</v>
      </c>
      <c r="F27" s="18">
        <f t="shared" si="8"/>
        <v>315000</v>
      </c>
    </row>
    <row r="28" ht="15.0" customHeight="1">
      <c r="A28" s="10" t="s">
        <v>105</v>
      </c>
      <c r="B28" s="10" t="s">
        <v>103</v>
      </c>
      <c r="C28" s="13">
        <f t="shared" ref="C28:F28" si="9">B8</f>
        <v>200000</v>
      </c>
      <c r="D28" s="13">
        <f t="shared" si="9"/>
        <v>320000</v>
      </c>
      <c r="E28" s="13">
        <f t="shared" si="9"/>
        <v>512000</v>
      </c>
      <c r="F28" s="13">
        <f t="shared" si="9"/>
        <v>819200</v>
      </c>
    </row>
    <row r="29" ht="15.0" customHeight="1">
      <c r="A29" s="15" t="s">
        <v>105</v>
      </c>
      <c r="B29" s="15" t="s">
        <v>104</v>
      </c>
      <c r="C29" s="18">
        <f t="shared" ref="C29:F29" si="10">B18</f>
        <v>200000</v>
      </c>
      <c r="D29" s="18">
        <f t="shared" si="10"/>
        <v>400000</v>
      </c>
      <c r="E29" s="18">
        <f t="shared" si="10"/>
        <v>700000</v>
      </c>
      <c r="F29" s="18">
        <f t="shared" si="10"/>
        <v>1050000</v>
      </c>
    </row>
    <row r="30" ht="15.0" customHeight="1">
      <c r="A30" s="10" t="s">
        <v>106</v>
      </c>
      <c r="B30" s="10" t="s">
        <v>103</v>
      </c>
      <c r="C30" s="13">
        <f t="shared" ref="C30:F30" si="11">B9</f>
        <v>150000</v>
      </c>
      <c r="D30" s="13">
        <f t="shared" si="11"/>
        <v>240000</v>
      </c>
      <c r="E30" s="13">
        <f t="shared" si="11"/>
        <v>384000</v>
      </c>
      <c r="F30" s="13">
        <f t="shared" si="11"/>
        <v>614400</v>
      </c>
    </row>
    <row r="31" ht="15.0" customHeight="1">
      <c r="A31" s="15" t="s">
        <v>106</v>
      </c>
      <c r="B31" s="15" t="s">
        <v>104</v>
      </c>
      <c r="C31" s="18">
        <f t="shared" ref="C31:F31" si="12">B19</f>
        <v>150000</v>
      </c>
      <c r="D31" s="18">
        <f t="shared" si="12"/>
        <v>300000</v>
      </c>
      <c r="E31" s="18">
        <f t="shared" si="12"/>
        <v>525000</v>
      </c>
      <c r="F31" s="18">
        <f t="shared" si="12"/>
        <v>787500</v>
      </c>
    </row>
    <row r="32" ht="15.0" customHeight="1">
      <c r="A32" s="19" t="s">
        <v>107</v>
      </c>
      <c r="B32" s="49" t="s">
        <v>108</v>
      </c>
      <c r="C32" s="21">
        <f t="shared" ref="C32:F32" si="13">B10</f>
        <v>410000</v>
      </c>
      <c r="D32" s="21">
        <f t="shared" si="13"/>
        <v>656000</v>
      </c>
      <c r="E32" s="21">
        <f t="shared" si="13"/>
        <v>1049600</v>
      </c>
      <c r="F32" s="21">
        <f t="shared" si="13"/>
        <v>1679360</v>
      </c>
    </row>
    <row r="33" ht="15.0" customHeight="1">
      <c r="A33" s="19" t="s">
        <v>107</v>
      </c>
      <c r="B33" s="49" t="s">
        <v>104</v>
      </c>
      <c r="C33" s="21">
        <f t="shared" ref="C33:F33" si="14">B20</f>
        <v>410000</v>
      </c>
      <c r="D33" s="21">
        <f t="shared" si="14"/>
        <v>820000</v>
      </c>
      <c r="E33" s="21">
        <f t="shared" si="14"/>
        <v>1435000</v>
      </c>
      <c r="F33" s="21">
        <f t="shared" si="14"/>
        <v>2152500</v>
      </c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6">
    <mergeCell ref="A1:F1"/>
    <mergeCell ref="A2:F2"/>
    <mergeCell ref="A5:F5"/>
    <mergeCell ref="A12:F12"/>
    <mergeCell ref="A15:F15"/>
    <mergeCell ref="A24:F2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6.0"/>
    <col customWidth="1" min="2" max="5" width="18.0"/>
    <col customWidth="1" min="6" max="6" width="20.0"/>
    <col customWidth="1" min="7" max="26" width="8.71"/>
  </cols>
  <sheetData>
    <row r="1" ht="25.5" customHeight="1">
      <c r="A1" s="34" t="s">
        <v>109</v>
      </c>
      <c r="B1" s="2"/>
      <c r="C1" s="2"/>
      <c r="D1" s="2"/>
      <c r="E1" s="2"/>
      <c r="F1" s="3"/>
    </row>
    <row r="2" ht="15.0" customHeight="1">
      <c r="A2" s="4" t="s">
        <v>110</v>
      </c>
    </row>
    <row r="3">
      <c r="A3" s="5"/>
      <c r="B3" s="5"/>
      <c r="C3" s="5"/>
      <c r="D3" s="5"/>
      <c r="E3" s="5"/>
      <c r="F3" s="5"/>
    </row>
    <row r="4" ht="15.0" customHeight="1">
      <c r="A4" s="35"/>
      <c r="B4" s="8" t="s">
        <v>68</v>
      </c>
      <c r="C4" s="8" t="s">
        <v>69</v>
      </c>
      <c r="D4" s="8" t="s">
        <v>70</v>
      </c>
      <c r="E4" s="8" t="s">
        <v>71</v>
      </c>
      <c r="F4" s="8" t="s">
        <v>72</v>
      </c>
    </row>
    <row r="5" ht="15.0" customHeight="1">
      <c r="A5" s="6" t="s">
        <v>111</v>
      </c>
      <c r="B5" s="25"/>
      <c r="C5" s="25"/>
      <c r="D5" s="25"/>
      <c r="E5" s="25"/>
      <c r="F5" s="7"/>
    </row>
    <row r="6" ht="15.0" customHeight="1">
      <c r="A6" s="10" t="s">
        <v>112</v>
      </c>
      <c r="B6" s="36">
        <f>Assumptions!D15</f>
        <v>178739.745</v>
      </c>
      <c r="C6" s="26"/>
      <c r="D6" s="26"/>
      <c r="E6" s="26"/>
      <c r="F6" s="26"/>
    </row>
    <row r="7" ht="15.0" customHeight="1">
      <c r="A7" s="15" t="s">
        <v>113</v>
      </c>
      <c r="B7" s="37">
        <f>Assumptions!B47</f>
        <v>1800000</v>
      </c>
      <c r="C7" s="27"/>
      <c r="D7" s="27"/>
      <c r="E7" s="27"/>
      <c r="F7" s="27"/>
    </row>
    <row r="8" ht="32.25" customHeight="1">
      <c r="A8" s="22" t="s">
        <v>114</v>
      </c>
      <c r="B8" s="50">
        <f>IFERROR(B7/B6,"-")</f>
        <v>10.07050782</v>
      </c>
      <c r="C8" s="23"/>
      <c r="D8" s="23"/>
      <c r="E8" s="23"/>
      <c r="F8" s="14" t="s">
        <v>115</v>
      </c>
    </row>
    <row r="9">
      <c r="A9" s="5"/>
      <c r="B9" s="5"/>
      <c r="C9" s="5"/>
      <c r="D9" s="5"/>
      <c r="E9" s="5"/>
      <c r="F9" s="5"/>
    </row>
    <row r="10" ht="15.0" customHeight="1">
      <c r="A10" s="6" t="s">
        <v>73</v>
      </c>
      <c r="B10" s="25"/>
      <c r="C10" s="25"/>
      <c r="D10" s="25"/>
      <c r="E10" s="25"/>
      <c r="F10" s="7"/>
    </row>
    <row r="11" ht="15.0" customHeight="1">
      <c r="A11" s="10" t="s">
        <v>116</v>
      </c>
      <c r="B11" s="36">
        <f>'Cost Model'!B12</f>
        <v>18000</v>
      </c>
      <c r="C11" s="36">
        <f>'Cost Model'!C12</f>
        <v>0</v>
      </c>
      <c r="D11" s="36">
        <f>'Cost Model'!D12</f>
        <v>0</v>
      </c>
      <c r="E11" s="36">
        <f>'Cost Model'!E12</f>
        <v>193813.745</v>
      </c>
      <c r="F11" s="36">
        <f>'Cost Model'!F12</f>
        <v>211813.745</v>
      </c>
    </row>
    <row r="12" ht="15.0" customHeight="1">
      <c r="A12" s="15" t="s">
        <v>117</v>
      </c>
      <c r="B12" s="37">
        <f>'Revenue Model'!B13</f>
        <v>2210000</v>
      </c>
      <c r="C12" s="37">
        <f>'Revenue Model'!C13</f>
        <v>2726000</v>
      </c>
      <c r="D12" s="37">
        <f>'Revenue Model'!D13</f>
        <v>3430100</v>
      </c>
      <c r="E12" s="37">
        <f>'Revenue Model'!E13</f>
        <v>4416935</v>
      </c>
      <c r="F12" s="37">
        <f>'Revenue Model'!F13</f>
        <v>12783035</v>
      </c>
    </row>
    <row r="13" ht="15.0" customHeight="1">
      <c r="A13" s="38" t="s">
        <v>118</v>
      </c>
      <c r="B13" s="40">
        <f t="shared" ref="B13:E13" si="1">B12-B11</f>
        <v>2192000</v>
      </c>
      <c r="C13" s="40">
        <f t="shared" si="1"/>
        <v>2726000</v>
      </c>
      <c r="D13" s="40">
        <f t="shared" si="1"/>
        <v>3430100</v>
      </c>
      <c r="E13" s="40">
        <f t="shared" si="1"/>
        <v>4223121.255</v>
      </c>
      <c r="F13" s="40">
        <f>SUM(B13:E13)</f>
        <v>12571221.26</v>
      </c>
    </row>
    <row r="14" ht="15.0" customHeight="1">
      <c r="A14" s="19" t="s">
        <v>119</v>
      </c>
      <c r="B14" s="51">
        <f t="shared" ref="B14:F14" si="2">IFERROR(B12/B11,"-")</f>
        <v>122.7777778</v>
      </c>
      <c r="C14" s="51" t="str">
        <f t="shared" si="2"/>
        <v>-</v>
      </c>
      <c r="D14" s="51" t="str">
        <f t="shared" si="2"/>
        <v>-</v>
      </c>
      <c r="E14" s="51">
        <f t="shared" si="2"/>
        <v>22.78958595</v>
      </c>
      <c r="F14" s="51">
        <f t="shared" si="2"/>
        <v>60.35035639</v>
      </c>
    </row>
    <row r="15">
      <c r="A15" s="5"/>
      <c r="B15" s="5"/>
      <c r="C15" s="5"/>
      <c r="D15" s="5"/>
      <c r="E15" s="5"/>
      <c r="F15" s="5"/>
    </row>
    <row r="16" ht="15.0" customHeight="1">
      <c r="A16" s="6" t="s">
        <v>80</v>
      </c>
      <c r="B16" s="25"/>
      <c r="C16" s="25"/>
      <c r="D16" s="25"/>
      <c r="E16" s="25"/>
      <c r="F16" s="7"/>
    </row>
    <row r="17" ht="15.0" customHeight="1">
      <c r="A17" s="10" t="s">
        <v>120</v>
      </c>
      <c r="B17" s="36">
        <f>'Cost Model'!B23</f>
        <v>0</v>
      </c>
      <c r="C17" s="36">
        <f>'Cost Model'!C23</f>
        <v>-186680</v>
      </c>
      <c r="D17" s="36">
        <f>'Cost Model'!D23</f>
        <v>-186680</v>
      </c>
      <c r="E17" s="36">
        <f>'Cost Model'!E23</f>
        <v>-186680</v>
      </c>
      <c r="F17" s="36">
        <f>'Cost Model'!F23</f>
        <v>-560040</v>
      </c>
    </row>
    <row r="18" ht="15.0" customHeight="1">
      <c r="A18" s="15" t="s">
        <v>117</v>
      </c>
      <c r="B18" s="37">
        <f>'Revenue Model'!B13</f>
        <v>2210000</v>
      </c>
      <c r="C18" s="37">
        <f>'Revenue Model'!C13</f>
        <v>2726000</v>
      </c>
      <c r="D18" s="37">
        <f>'Revenue Model'!D13</f>
        <v>3430100</v>
      </c>
      <c r="E18" s="37">
        <f>'Revenue Model'!E13</f>
        <v>4416935</v>
      </c>
      <c r="F18" s="37">
        <f>'Revenue Model'!F13</f>
        <v>12783035</v>
      </c>
    </row>
    <row r="19" ht="15.0" customHeight="1">
      <c r="A19" s="38" t="s">
        <v>118</v>
      </c>
      <c r="B19" s="40">
        <f t="shared" ref="B19:E19" si="3">B18-B17</f>
        <v>2210000</v>
      </c>
      <c r="C19" s="40">
        <f t="shared" si="3"/>
        <v>2912680</v>
      </c>
      <c r="D19" s="40">
        <f t="shared" si="3"/>
        <v>3616780</v>
      </c>
      <c r="E19" s="40">
        <f t="shared" si="3"/>
        <v>4603615</v>
      </c>
      <c r="F19" s="40">
        <f>SUM(B19:E19)</f>
        <v>13343075</v>
      </c>
    </row>
    <row r="20" ht="15.0" customHeight="1">
      <c r="A20" s="19" t="s">
        <v>121</v>
      </c>
      <c r="B20" s="51" t="str">
        <f t="shared" ref="B20:F20" si="4">IFERROR(B18/B17,"-")</f>
        <v>-</v>
      </c>
      <c r="C20" s="51">
        <f t="shared" si="4"/>
        <v>-14.60252839</v>
      </c>
      <c r="D20" s="51">
        <f t="shared" si="4"/>
        <v>-18.37422327</v>
      </c>
      <c r="E20" s="51">
        <f t="shared" si="4"/>
        <v>-23.66046175</v>
      </c>
      <c r="F20" s="51">
        <f t="shared" si="4"/>
        <v>-22.82521784</v>
      </c>
    </row>
    <row r="21" ht="15.75" customHeight="1">
      <c r="A21" s="5"/>
      <c r="B21" s="5"/>
      <c r="C21" s="5"/>
      <c r="D21" s="5"/>
      <c r="E21" s="5"/>
      <c r="F21" s="5"/>
    </row>
    <row r="22" ht="15.0" customHeight="1">
      <c r="A22" s="6" t="s">
        <v>122</v>
      </c>
      <c r="B22" s="25"/>
      <c r="C22" s="25"/>
      <c r="D22" s="25"/>
      <c r="E22" s="7"/>
      <c r="F22" s="5"/>
    </row>
    <row r="23" ht="19.5" customHeight="1">
      <c r="A23" s="52" t="s">
        <v>123</v>
      </c>
      <c r="B23" s="25"/>
      <c r="C23" s="25"/>
      <c r="D23" s="25"/>
      <c r="E23" s="25"/>
      <c r="F23" s="43"/>
    </row>
    <row r="24" ht="19.5" customHeight="1">
      <c r="A24" s="53" t="s">
        <v>124</v>
      </c>
      <c r="B24" s="25"/>
      <c r="C24" s="25"/>
      <c r="D24" s="25"/>
      <c r="E24" s="25"/>
      <c r="F24" s="43"/>
    </row>
    <row r="25" ht="19.5" customHeight="1">
      <c r="A25" s="52" t="s">
        <v>125</v>
      </c>
      <c r="B25" s="25"/>
      <c r="C25" s="25"/>
      <c r="D25" s="25"/>
      <c r="E25" s="25"/>
      <c r="F25" s="43"/>
    </row>
    <row r="26" ht="19.5" customHeight="1">
      <c r="A26" s="53" t="s">
        <v>126</v>
      </c>
      <c r="B26" s="25"/>
      <c r="C26" s="25"/>
      <c r="D26" s="25"/>
      <c r="E26" s="25"/>
      <c r="F26" s="43"/>
    </row>
    <row r="27" ht="19.5" customHeight="1">
      <c r="A27" s="54" t="s">
        <v>127</v>
      </c>
      <c r="B27" s="25"/>
      <c r="C27" s="25"/>
      <c r="D27" s="25"/>
      <c r="E27" s="25"/>
      <c r="F27" s="43"/>
    </row>
    <row r="28" ht="19.5" customHeight="1">
      <c r="A28" s="53" t="s">
        <v>128</v>
      </c>
      <c r="B28" s="25"/>
      <c r="C28" s="25"/>
      <c r="D28" s="25"/>
      <c r="E28" s="25"/>
      <c r="F28" s="43"/>
    </row>
    <row r="29" ht="15.75" customHeight="1">
      <c r="A29" s="5"/>
      <c r="B29" s="5"/>
      <c r="C29" s="5"/>
      <c r="D29" s="5"/>
      <c r="E29" s="5"/>
      <c r="F29" s="5"/>
    </row>
    <row r="30" ht="15.75" customHeight="1">
      <c r="A30" s="5"/>
      <c r="B30" s="5"/>
      <c r="C30" s="5"/>
      <c r="D30" s="5"/>
      <c r="E30" s="5"/>
      <c r="F30" s="5"/>
    </row>
    <row r="31" ht="15.75" customHeight="1">
      <c r="A31" s="5"/>
      <c r="B31" s="5"/>
      <c r="C31" s="5"/>
      <c r="D31" s="5"/>
      <c r="E31" s="5"/>
      <c r="F31" s="5"/>
    </row>
    <row r="32" ht="15.75" customHeight="1">
      <c r="A32" s="5"/>
      <c r="B32" s="5"/>
      <c r="C32" s="5"/>
      <c r="D32" s="5"/>
      <c r="E32" s="5"/>
      <c r="F32" s="5"/>
    </row>
    <row r="33" ht="15.75" customHeight="1">
      <c r="A33" s="5"/>
      <c r="B33" s="5"/>
      <c r="C33" s="5"/>
      <c r="D33" s="5"/>
      <c r="E33" s="5"/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"/>
      <c r="B35" s="5"/>
      <c r="C35" s="5"/>
      <c r="D35" s="5"/>
      <c r="E35" s="5"/>
      <c r="F35" s="5"/>
    </row>
    <row r="36" ht="15.75" customHeight="1">
      <c r="A36" s="5"/>
      <c r="B36" s="5"/>
      <c r="C36" s="5"/>
      <c r="D36" s="5"/>
      <c r="E36" s="5"/>
      <c r="F36" s="5"/>
    </row>
    <row r="37" ht="15.75" customHeight="1">
      <c r="A37" s="5"/>
      <c r="B37" s="5"/>
      <c r="C37" s="5"/>
      <c r="D37" s="5"/>
      <c r="E37" s="5"/>
      <c r="F37" s="5"/>
    </row>
    <row r="38" ht="15.75" customHeight="1">
      <c r="A38" s="5"/>
      <c r="B38" s="5"/>
      <c r="C38" s="5"/>
      <c r="D38" s="5"/>
      <c r="E38" s="5"/>
      <c r="F38" s="5"/>
    </row>
    <row r="39" ht="15.75" customHeight="1">
      <c r="A39" s="5"/>
      <c r="B39" s="5"/>
      <c r="C39" s="5"/>
      <c r="D39" s="5"/>
      <c r="E39" s="5"/>
      <c r="F39" s="5"/>
    </row>
    <row r="40" ht="15.75" customHeight="1">
      <c r="A40" s="5"/>
      <c r="B40" s="5"/>
      <c r="C40" s="5"/>
      <c r="D40" s="5"/>
      <c r="E40" s="5"/>
      <c r="F40" s="5"/>
    </row>
    <row r="41" ht="15.75" customHeight="1">
      <c r="A41" s="5"/>
      <c r="B41" s="5"/>
      <c r="C41" s="5"/>
      <c r="D41" s="5"/>
      <c r="E41" s="5"/>
      <c r="F41" s="5"/>
    </row>
    <row r="42" ht="15.75" customHeight="1">
      <c r="A42" s="5"/>
      <c r="B42" s="5"/>
      <c r="C42" s="5"/>
      <c r="D42" s="5"/>
      <c r="E42" s="5"/>
      <c r="F42" s="5"/>
    </row>
    <row r="43" ht="15.75" customHeight="1">
      <c r="A43" s="5"/>
      <c r="B43" s="5"/>
      <c r="C43" s="5"/>
      <c r="D43" s="5"/>
      <c r="E43" s="5"/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mergeCells count="12">
    <mergeCell ref="A24:F24"/>
    <mergeCell ref="A25:F25"/>
    <mergeCell ref="A26:F26"/>
    <mergeCell ref="A27:F27"/>
    <mergeCell ref="A28:F28"/>
    <mergeCell ref="A1:F1"/>
    <mergeCell ref="A2:F2"/>
    <mergeCell ref="A5:F5"/>
    <mergeCell ref="A10:F10"/>
    <mergeCell ref="A16:F16"/>
    <mergeCell ref="A22:E22"/>
    <mergeCell ref="A23:F23"/>
  </mergeCells>
  <printOptions/>
  <pageMargins bottom="1.0" footer="0.0" header="0.0" left="0.75" right="0.75" top="1.0"/>
  <pageSetup paperSize="9" orientation="portrait"/>
  <drawing r:id="rId1"/>
</worksheet>
</file>